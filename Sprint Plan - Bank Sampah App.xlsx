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A:\Project\SMKN 2 Indramayu\Bank Sampah App\"/>
    </mc:Choice>
  </mc:AlternateContent>
  <xr:revisionPtr revIDLastSave="0" documentId="13_ncr:1_{C4979E4C-A756-4D03-AA41-3A354B3F4301}" xr6:coauthVersionLast="45" xr6:coauthVersionMax="45" xr10:uidLastSave="{00000000-0000-0000-0000-000000000000}"/>
  <bookViews>
    <workbookView xWindow="-120" yWindow="-120" windowWidth="29040" windowHeight="15840" firstSheet="1" activeTab="7" xr2:uid="{00000000-000D-0000-FFFF-FFFF00000000}"/>
  </bookViews>
  <sheets>
    <sheet name="📋 Project Overview" sheetId="1" r:id="rId1"/>
    <sheet name="📦 Product Backlog" sheetId="2" r:id="rId2"/>
    <sheet name="🔍 Sprint 0" sheetId="3" r:id="rId3"/>
    <sheet name="🚀 Sprint 1" sheetId="4" r:id="rId4"/>
    <sheet name="🛠️ Sprint 2" sheetId="5" r:id="rId5"/>
    <sheet name="📊 Sprint 3" sheetId="6" r:id="rId6"/>
    <sheet name="💰 Sprint 4" sheetId="7" r:id="rId7"/>
    <sheet name="📱 Sprint 5" sheetId="8" r:id="rId8"/>
    <sheet name="✅ Sprint 6" sheetId="9" r:id="rId9"/>
    <sheet name="📈 Velocity &amp; Progress" sheetId="10" r:id="rId10"/>
    <sheet name="⚠️ Risk Register" sheetId="11" r:id="rId11"/>
    <sheet name="✅ Definition of Done" sheetId="12" r:id="rId1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1" i="10" l="1"/>
  <c r="B11" i="10"/>
</calcChain>
</file>

<file path=xl/sharedStrings.xml><?xml version="1.0" encoding="utf-8"?>
<sst xmlns="http://schemas.openxmlformats.org/spreadsheetml/2006/main" count="1115" uniqueCount="366">
  <si>
    <t>🌿 SPRINT PLAN — SISTEM BANK SAMPAH TABUNGAN</t>
  </si>
  <si>
    <t>SMKN 2 Indramayu  |  Achmad Arditio Sumartono  |  PRD v1.0</t>
  </si>
  <si>
    <t>📅 IDENTITAS PROYEK</t>
  </si>
  <si>
    <t>📅 RINGKASAN SPRINT</t>
  </si>
  <si>
    <t>Nama Proyek</t>
  </si>
  <si>
    <t>Sistem Aplikasi Bank Sampah Tabungan</t>
  </si>
  <si>
    <t>Sprint</t>
  </si>
  <si>
    <t>Nama Sprint</t>
  </si>
  <si>
    <t>Fase</t>
  </si>
  <si>
    <t>Mulai</t>
  </si>
  <si>
    <t>Selesai</t>
  </si>
  <si>
    <t>Story Points</t>
  </si>
  <si>
    <t>Instansi</t>
  </si>
  <si>
    <t>SMKN 2 Indramayu, Jawa Barat</t>
  </si>
  <si>
    <t>0</t>
  </si>
  <si>
    <t>Fase 0 - Analisis &amp; Desain</t>
  </si>
  <si>
    <t>Fase 0</t>
  </si>
  <si>
    <t>02 Jun 2026</t>
  </si>
  <si>
    <t>15 Jun 2026</t>
  </si>
  <si>
    <t>Platform</t>
  </si>
  <si>
    <t>Mobile-First (Android &amp; iOS) + Web PWA</t>
  </si>
  <si>
    <t>1</t>
  </si>
  <si>
    <t>Sprint 1 - MVP Core (Auth &amp; Setoran)</t>
  </si>
  <si>
    <t>Fase 1</t>
  </si>
  <si>
    <t>16 Jun 2026</t>
  </si>
  <si>
    <t>06 Jul 2026</t>
  </si>
  <si>
    <t>Tech Stack</t>
  </si>
  <si>
    <t>Laravel (PHP) + Vite + SQLite -&gt; MySQL/PostgreSQL</t>
  </si>
  <si>
    <t>2</t>
  </si>
  <si>
    <t>Sprint 2 - MVP Core (Siswa &amp; Kelas)</t>
  </si>
  <si>
    <t>07 Jul 2026</t>
  </si>
  <si>
    <t>27 Jul 2026</t>
  </si>
  <si>
    <t>Author</t>
  </si>
  <si>
    <t>Achmad Arditio Sumartono</t>
  </si>
  <si>
    <t>3</t>
  </si>
  <si>
    <t>Sprint 3 - Distribusi &amp; Laporan</t>
  </si>
  <si>
    <t>Fase 2</t>
  </si>
  <si>
    <t>28 Jul 2026</t>
  </si>
  <si>
    <t>24 Aug 2026</t>
  </si>
  <si>
    <t>Tanggal Mulai</t>
  </si>
  <si>
    <t>4</t>
  </si>
  <si>
    <t>Sprint 4 - Penarikan &amp; Notifikasi</t>
  </si>
  <si>
    <t>Fase 3</t>
  </si>
  <si>
    <t>25 Aug 2026</t>
  </si>
  <si>
    <t>14 Sep 2026</t>
  </si>
  <si>
    <t>Target Selesai</t>
  </si>
  <si>
    <t>19 Oct 2026</t>
  </si>
  <si>
    <t>5</t>
  </si>
  <si>
    <t>Sprint 5 - QR Code &amp; Enhancement</t>
  </si>
  <si>
    <t>Fase 4</t>
  </si>
  <si>
    <t>15 Sep 2026</t>
  </si>
  <si>
    <t>05 Oct 2026</t>
  </si>
  <si>
    <t>Total Durasi</t>
  </si>
  <si>
    <t>140 hari (~20 minggu)</t>
  </si>
  <si>
    <t>6</t>
  </si>
  <si>
    <t>Sprint 6 - UAT &amp; Deployment</t>
  </si>
  <si>
    <t>Fase 5</t>
  </si>
  <si>
    <t>06 Oct 2026</t>
  </si>
  <si>
    <t>Total Stories</t>
  </si>
  <si>
    <t>52 User Stories</t>
  </si>
  <si>
    <t>Total SP</t>
  </si>
  <si>
    <t>289 Story Points</t>
  </si>
  <si>
    <t>🎯 PRIORITAS FITUR (MoSCoW)</t>
  </si>
  <si>
    <t>Prioritas</t>
  </si>
  <si>
    <t>Jumlah Stories</t>
  </si>
  <si>
    <t>Total Story Points</t>
  </si>
  <si>
    <t>Fase Utama</t>
  </si>
  <si>
    <t>Must Have</t>
  </si>
  <si>
    <t>Fase 0-3</t>
  </si>
  <si>
    <t>Should Have</t>
  </si>
  <si>
    <t>Fase 2-5</t>
  </si>
  <si>
    <t>Could Have</t>
  </si>
  <si>
    <t>Fase 4-5</t>
  </si>
  <si>
    <t>Won't Have</t>
  </si>
  <si>
    <t>-</t>
  </si>
  <si>
    <t>#</t>
  </si>
  <si>
    <t>ID</t>
  </si>
  <si>
    <t>Epic</t>
  </si>
  <si>
    <t>User Story</t>
  </si>
  <si>
    <t>Feature / Task</t>
  </si>
  <si>
    <t>Role</t>
  </si>
  <si>
    <t>Priority</t>
  </si>
  <si>
    <t>SP</t>
  </si>
  <si>
    <t>Status</t>
  </si>
  <si>
    <t>BS-001</t>
  </si>
  <si>
    <t>Analisis</t>
  </si>
  <si>
    <t>Sebagai tim, saya ingin menyelesaikan PRD agar ada acuan pengembangan</t>
  </si>
  <si>
    <t>Finalisasi PRD v1.0</t>
  </si>
  <si>
    <t>Tim Dev</t>
  </si>
  <si>
    <t>Done</t>
  </si>
  <si>
    <t>BS-002</t>
  </si>
  <si>
    <t>Desain</t>
  </si>
  <si>
    <t>Sebagai desainer, saya ingin membuat wireframe semua halaman</t>
  </si>
  <si>
    <t>Wireframe UI (Figma) - seluruh role</t>
  </si>
  <si>
    <t>UI/UX</t>
  </si>
  <si>
    <t>BS-003</t>
  </si>
  <si>
    <t>Sebagai desainer, saya ingin prototype interaktif untuk review stakeholder</t>
  </si>
  <si>
    <t>Interactive Prototype</t>
  </si>
  <si>
    <t>BS-004</t>
  </si>
  <si>
    <t>DB</t>
  </si>
  <si>
    <t>Sebagai DBA, saya ingin merancang skema database awal</t>
  </si>
  <si>
    <t>ERD &amp; Database Schema</t>
  </si>
  <si>
    <t>Backend</t>
  </si>
  <si>
    <t>BS-005</t>
  </si>
  <si>
    <t>Setup</t>
  </si>
  <si>
    <t>Sebagai dev, saya ingin setup repo, CI, dan environment lokal</t>
  </si>
  <si>
    <t>Repo Setup, Git branching, .env</t>
  </si>
  <si>
    <t>BS-006</t>
  </si>
  <si>
    <t>Autentikasi</t>
  </si>
  <si>
    <t>Sebagai pengguna, saya bisa login dengan email &amp; password</t>
  </si>
  <si>
    <t>Login Multi-Role (RBAC)</t>
  </si>
  <si>
    <t>Semua Role</t>
  </si>
  <si>
    <t>Sprint 1</t>
  </si>
  <si>
    <t>BS-007</t>
  </si>
  <si>
    <t>Sebagai sistem, saya harus memblokir akses ke halaman yang tidak sesuai role</t>
  </si>
  <si>
    <t>Role Middleware &amp; Guard</t>
  </si>
  <si>
    <t>BS-008</t>
  </si>
  <si>
    <t>Sebagai pengguna, saya bisa logout dengan aman</t>
  </si>
  <si>
    <t>Logout &amp; Session Invalidation</t>
  </si>
  <si>
    <t>BS-009</t>
  </si>
  <si>
    <t>Operator</t>
  </si>
  <si>
    <t>Sebagai operator, saya bisa mencari siswa berdasarkan nama atau NISN</t>
  </si>
  <si>
    <t>Pencarian Siswa (Live Search AJAX)</t>
  </si>
  <si>
    <t>BS-010</t>
  </si>
  <si>
    <t>Sebagai operator, saya bisa memilih jenis sampah dari master data</t>
  </si>
  <si>
    <t>Pilih Kategori Sampah</t>
  </si>
  <si>
    <t>BS-011</t>
  </si>
  <si>
    <t>Transaksi</t>
  </si>
  <si>
    <t>Sebagai operator, saya bisa input berat/jumlah sampah dan sistem menghitung nilai rupiah</t>
  </si>
  <si>
    <t>Input Setoran &amp; Konversi Otomatis</t>
  </si>
  <si>
    <t>BS-012</t>
  </si>
  <si>
    <t>Sebagai sistem, saya harus memperbarui saldo siswa secara real-time setelah transaksi</t>
  </si>
  <si>
    <t>Update Saldo Real-Time</t>
  </si>
  <si>
    <t>BS-013</t>
  </si>
  <si>
    <t>Sebagai operator, saya bisa melihat struk konfirmasi setoran digital</t>
  </si>
  <si>
    <t>Bukti Transaksi / Struk Digital</t>
  </si>
  <si>
    <t>BS-014</t>
  </si>
  <si>
    <t>Sebagai operator, saya bisa mendaftarkan siswa baru secara manual</t>
  </si>
  <si>
    <t>Pendaftaran Siswa Manual</t>
  </si>
  <si>
    <t>BS-015</t>
  </si>
  <si>
    <t>Sebagai operator, saya bisa import data siswa massal dari file CSV</t>
  </si>
  <si>
    <t>Import Siswa Massal (CSV/Bulk)</t>
  </si>
  <si>
    <t>BS-016</t>
  </si>
  <si>
    <t>Siswa</t>
  </si>
  <si>
    <t>Sebagai siswa, saya bisa melihat saldo &amp; poin saya di dashboard</t>
  </si>
  <si>
    <t>Dashboard Siswa (Saldo, Poin, Progress)</t>
  </si>
  <si>
    <t>Sprint 2</t>
  </si>
  <si>
    <t>BS-017</t>
  </si>
  <si>
    <t>Sebagai siswa, saya bisa melihat riwayat transaksi saya</t>
  </si>
  <si>
    <t>Riwayat Transaksi Siswa</t>
  </si>
  <si>
    <t>BS-018</t>
  </si>
  <si>
    <t>Sebagai siswa, saya bisa melihat peringkat (leaderboard) antar siswa</t>
  </si>
  <si>
    <t>Leaderboard Gamifikasi</t>
  </si>
  <si>
    <t>BS-019</t>
  </si>
  <si>
    <t>Sebagai siswa, saya bisa mengupdate profil &amp; foto avatar saya</t>
  </si>
  <si>
    <t>Edit Profil &amp; Upload Avatar</t>
  </si>
  <si>
    <t>BS-020</t>
  </si>
  <si>
    <t>Sebagai siswa, saya bisa mengajukan penarikan dana via aplikasi</t>
  </si>
  <si>
    <t>Form Pengajuan Penarikan Dana</t>
  </si>
  <si>
    <t>BS-021</t>
  </si>
  <si>
    <t>Wali Kelas</t>
  </si>
  <si>
    <t>Sebagai wali kelas, saya bisa melihat rekap tabungan &amp; volume sampah kelas saya</t>
  </si>
  <si>
    <t>Dashboard Wali Kelas</t>
  </si>
  <si>
    <t>BS-022</t>
  </si>
  <si>
    <t>Manajer</t>
  </si>
  <si>
    <t>Sebagai manajer, saya bisa melihat statistik global sekolah</t>
  </si>
  <si>
    <t>Dashboard Manajer (Stats Global)</t>
  </si>
  <si>
    <t>BS-023</t>
  </si>
  <si>
    <t>Sebagai manajer, saya bisa melihat performa per kelas</t>
  </si>
  <si>
    <t>Peringkat Kelas (Class Performance)</t>
  </si>
  <si>
    <t>BS-024</t>
  </si>
  <si>
    <t>Sebagai operator, saya bisa melihat riwayat semua transaksi yang pernah saya proses</t>
  </si>
  <si>
    <t>Riwayat Transaksi Operator</t>
  </si>
  <si>
    <t>BS-025</t>
  </si>
  <si>
    <t>Sebagai operator, saya bisa menyetujui atau menolak pengajuan penarikan dana</t>
  </si>
  <si>
    <t>Approve / Cancel Penarikan</t>
  </si>
  <si>
    <t>BS-026</t>
  </si>
  <si>
    <t>Distribusi</t>
  </si>
  <si>
    <t>Sebagai manajer, saya bisa mencatat distribusi sampah ke agen pengepul pihak ketiga</t>
  </si>
  <si>
    <t>Distribusi - Jalur 1: Jual ke Agen</t>
  </si>
  <si>
    <t>Sprint 3</t>
  </si>
  <si>
    <t>To Do</t>
  </si>
  <si>
    <t>BS-027</t>
  </si>
  <si>
    <t>Sebagai manajer, saya bisa mencatat distribusi sampah ke unit pengolahan internal</t>
  </si>
  <si>
    <t>Distribusi - Jalur 2: Unit Pengolahan</t>
  </si>
  <si>
    <t>BS-028</t>
  </si>
  <si>
    <t>Laporan</t>
  </si>
  <si>
    <t>Sebagai manajer, saya bisa memfilter laporan berdasarkan kelas dan rentang tanggal</t>
  </si>
  <si>
    <t>Filter Laporan Multi-Parameter</t>
  </si>
  <si>
    <t>BS-029</t>
  </si>
  <si>
    <t>Sebagai manajer, saya bisa mengekspor laporan ke format Excel/CSV</t>
  </si>
  <si>
    <t>Ekspor Laporan ke Excel/CSV</t>
  </si>
  <si>
    <t>BS-030</t>
  </si>
  <si>
    <t>Sebagai manajer, saya bisa mengekspor laporan ke format PDF</t>
  </si>
  <si>
    <t>Ekspor Laporan ke PDF</t>
  </si>
  <si>
    <t>BS-031</t>
  </si>
  <si>
    <t>Sebagai wali kelas, saya bisa memfilter laporan untuk kelas saya sendiri</t>
  </si>
  <si>
    <t>Laporan Filter Per Kelas (Wali Kelas)</t>
  </si>
  <si>
    <t>BS-032</t>
  </si>
  <si>
    <t>Cashflow</t>
  </si>
  <si>
    <t>Sebagai manajer, saya bisa melihat arus masuk dan keluar sampah dalam satu dashboard</t>
  </si>
  <si>
    <t>Dashboard Arus Cashflow/Itemflow</t>
  </si>
  <si>
    <t>BS-033</t>
  </si>
  <si>
    <t>Master Data</t>
  </si>
  <si>
    <t>Sebagai manajer, saya bisa mengubah harga/rate per jenis sampah kapan saja</t>
  </si>
  <si>
    <t>Manajemen Harga Master Data</t>
  </si>
  <si>
    <t>BS-034</t>
  </si>
  <si>
    <t>Penarikan</t>
  </si>
  <si>
    <t>Sebagai manajer, saya bisa memverifikasi dan menyetujui pengajuan penarikan dari siswa</t>
  </si>
  <si>
    <t>Verifikasi Penarikan oleh Manajer</t>
  </si>
  <si>
    <t>Sprint 4</t>
  </si>
  <si>
    <t>BS-035</t>
  </si>
  <si>
    <t>Notifikasi</t>
  </si>
  <si>
    <t>Sebagai siswa, saya menerima notifikasi push saat setoran dikonfirmasi</t>
  </si>
  <si>
    <t>Push Notification (FCM) - Setoran OK</t>
  </si>
  <si>
    <t>BS-036</t>
  </si>
  <si>
    <t>Sebagai siswa, saya menerima notifikasi saat penarikan diproses</t>
  </si>
  <si>
    <t>Push Notification - Penarikan Diproses</t>
  </si>
  <si>
    <t>BS-037</t>
  </si>
  <si>
    <t>Sebagai operator, saya menerima notifikasi saat ada pengajuan penarikan baru</t>
  </si>
  <si>
    <t>Push Notification - Pengajuan Baru</t>
  </si>
  <si>
    <t>BS-038</t>
  </si>
  <si>
    <t>Manajemen</t>
  </si>
  <si>
    <t>Sebagai manajer, saya bisa membuat &amp; menonaktifkan akun pengguna</t>
  </si>
  <si>
    <t>Manajemen Akun Pengguna oleh Manajer</t>
  </si>
  <si>
    <t>BS-039</t>
  </si>
  <si>
    <t>Sebagai manajer, saya bisa assign wali kelas ke kelas tertentu</t>
  </si>
  <si>
    <t>Assign Wali Kelas ke Kelas</t>
  </si>
  <si>
    <t>BS-040</t>
  </si>
  <si>
    <t>Audit</t>
  </si>
  <si>
    <t>Sebagai sistem, setiap perubahan data harus tercatat dengan timestamp dan user ID</t>
  </si>
  <si>
    <t>Audit Trail Lengkap</t>
  </si>
  <si>
    <t>BS-041</t>
  </si>
  <si>
    <t>QR Code</t>
  </si>
  <si>
    <t>Sebagai operator, saya bisa memindai QR Code pada ID Card siswa untuk identifikasi cepat</t>
  </si>
  <si>
    <t>QR Code Scanner - Identifikasi Siswa</t>
  </si>
  <si>
    <t>Sprint 5</t>
  </si>
  <si>
    <t>BS-042</t>
  </si>
  <si>
    <t>Sebagai sistem, saya menghasilkan QR Code unik untuk setiap siswa baru</t>
  </si>
  <si>
    <t>Generate QR Code per Siswa</t>
  </si>
  <si>
    <t>BS-043</t>
  </si>
  <si>
    <t>WhatsApp</t>
  </si>
  <si>
    <t>Sebagai operator, saya bisa mengirim bukti transaksi digital via WhatsApp</t>
  </si>
  <si>
    <t>Kirim Bukti Transaksi via WhatsApp</t>
  </si>
  <si>
    <t>BS-044</t>
  </si>
  <si>
    <t>Sebagai pengguna, saya bisa menggunakan fitur dark mode pada aplikasi</t>
  </si>
  <si>
    <t>Dark Mode UI</t>
  </si>
  <si>
    <t>BS-045</t>
  </si>
  <si>
    <t>Offline</t>
  </si>
  <si>
    <t>Sebagai operator, saya bisa membaca data lokal saat koneksi internet lemah</t>
  </si>
  <si>
    <t>Offline Mode (Read-Only)</t>
  </si>
  <si>
    <t>BS-046</t>
  </si>
  <si>
    <t>Performa</t>
  </si>
  <si>
    <t>Sebagai sistem, halaman utama harus load &lt; 2 detik pada koneksi 4G</t>
  </si>
  <si>
    <t>Optimasi Performa &amp; Caching</t>
  </si>
  <si>
    <t>BS-047</t>
  </si>
  <si>
    <t>Keamanan</t>
  </si>
  <si>
    <t>Sebagai sistem, semua endpoint harus terlindungi HTTPS/TLS</t>
  </si>
  <si>
    <t>Hardening Keamanan (HTTPS, CSP, Rate Limit)</t>
  </si>
  <si>
    <t>BS-048</t>
  </si>
  <si>
    <t>UAT</t>
  </si>
  <si>
    <t>Sebagai pihak sekolah, saya ingin menguji aplikasi sebelum go-live</t>
  </si>
  <si>
    <t>User Acceptance Testing (UAT)</t>
  </si>
  <si>
    <t>QA + Sekolah</t>
  </si>
  <si>
    <t>Sprint 6</t>
  </si>
  <si>
    <t>BS-049</t>
  </si>
  <si>
    <t>Bug Fix</t>
  </si>
  <si>
    <t>Sebagai tim dev, saya harus memperbaiki semua bug kritis hasil UAT</t>
  </si>
  <si>
    <t>Perbaikan Bug Post-UAT</t>
  </si>
  <si>
    <t>BS-050</t>
  </si>
  <si>
    <t>Deployment</t>
  </si>
  <si>
    <t>Sebagai tim dev, saya harus deploy aplikasi ke server produksi (VPS)</t>
  </si>
  <si>
    <t>Deployment ke Produksi (VPS/Hostinger)</t>
  </si>
  <si>
    <t>DevOps</t>
  </si>
  <si>
    <t>BS-051</t>
  </si>
  <si>
    <t>Pelatihan</t>
  </si>
  <si>
    <t>Sebagai sekolah, saya ingin mendapatkan pelatihan penggunaan aplikasi</t>
  </si>
  <si>
    <t>Pelatihan Pengguna &amp; User Manual</t>
  </si>
  <si>
    <t>BS-052</t>
  </si>
  <si>
    <t>Monitoring</t>
  </si>
  <si>
    <t>Sebagai tim dev, saya ingin setup monitoring uptime dan error logging</t>
  </si>
  <si>
    <t>Setup Monitoring &amp; Error Logging</t>
  </si>
  <si>
    <t>Tanggal Selesai</t>
  </si>
  <si>
    <t>Sprint Goal</t>
  </si>
  <si>
    <t>Menyelesaikan analisis kebutuhan, desain UI/UX, ERD database, dan setup infrastruktur project.</t>
  </si>
  <si>
    <t>📋 SPRINT BACKLOG</t>
  </si>
  <si>
    <t>Membangun pondasi sistem: autentikasi multi-role, input setoran sampah, konversi otomatis, dan pendaftaran siswa.</t>
  </si>
  <si>
    <t>Melengkapi portal semua role: dashboard siswa, wali kelas, manajer; leaderboard; dan fitur penarikan dana.</t>
  </si>
  <si>
    <t>Membangun modul distribusi sampah 2 jalur, rekap cashflow/itemflow, master data harga, dan ekspor laporan PDF/Excel.</t>
  </si>
  <si>
    <t>Membangun alur verifikasi penarikan dua langkah oleh Manajer, push notification FCM, management akun, dan audit trail.</t>
  </si>
  <si>
    <t>Mengimplementasikan fitur optional: QR Code scanner, WhatsApp share, dark mode, offline mode, dan caching/hardening.</t>
  </si>
  <si>
    <t>Melakukan User Acceptance Testing (UAT) bersama pihak sekolah, perbaikan bug, deployment ke VPS produksi, dan pelatihan.</t>
  </si>
  <si>
    <t>Stories</t>
  </si>
  <si>
    <t>Total</t>
  </si>
  <si>
    <t>Planned Remaining</t>
  </si>
  <si>
    <t>Actual Remaining</t>
  </si>
  <si>
    <t>Velocity</t>
  </si>
  <si>
    <t>⚠️ RISK REGISTER — BANK SAMPAH APP</t>
  </si>
  <si>
    <t>No</t>
  </si>
  <si>
    <t>Risiko</t>
  </si>
  <si>
    <t>Dampak</t>
  </si>
  <si>
    <t>Level</t>
  </si>
  <si>
    <t>Mitigasi</t>
  </si>
  <si>
    <t>Data setoran hilang akibat kesalahan input Operator</t>
  </si>
  <si>
    <t>Inkonsistensi saldo siswa</t>
  </si>
  <si>
    <t>Sedang</t>
  </si>
  <si>
    <t>Audit trail wajib; fitur koreksi transaksi dengan otorisasi Manajer</t>
  </si>
  <si>
    <t>Open</t>
  </si>
  <si>
    <t>Koneksi internet tidak stabil di area sekolah</t>
  </si>
  <si>
    <t>Transaksi tidak tersimpan</t>
  </si>
  <si>
    <t>Tinggi</t>
  </si>
  <si>
    <t>Mode offline dengan sinkronisasi saat koneksi tersedia (PWA/service worker)</t>
  </si>
  <si>
    <t>Rate harga berubah mempengaruhi kalkulasi historis</t>
  </si>
  <si>
    <t>Ketidakadilan nilai tabungan</t>
  </si>
  <si>
    <t>Rendah</t>
  </si>
  <si>
    <t>Rate historis disimpan per transaksi, tidak gunakan rate terkini untuk tx lama</t>
  </si>
  <si>
    <t>Mitigated</t>
  </si>
  <si>
    <t>Kebocoran data tabungan siswa</t>
  </si>
  <si>
    <t>Pelanggaran privasi &amp; kepercayaan</t>
  </si>
  <si>
    <t>Enkripsi HTTPS, validasi role ketat, audit log akses data sensitif</t>
  </si>
  <si>
    <t>Resistensi pengguna (guru/orang tua) terhadap sistem baru</t>
  </si>
  <si>
    <t>Adopsi lambat</t>
  </si>
  <si>
    <t>Pelatihan terstruktur, UI intuitif, panduan penggunaan (manual)</t>
  </si>
  <si>
    <t>Skala pengguna melebihi kapasitas server awal (&gt; 500 siswa aktif)</t>
  </si>
  <si>
    <t>Performa menurun / downtime</t>
  </si>
  <si>
    <t>Monitor kapasitas, skaling VPS, optimasi query &amp; caching</t>
  </si>
  <si>
    <t>Bug kritis ditemukan saat UAT menghambat deployment</t>
  </si>
  <si>
    <t>Delay go-live</t>
  </si>
  <si>
    <t>Testing berkelanjutan per sprint, buffer 1 minggu di Sprint 6</t>
  </si>
  <si>
    <t>✅ DEFINITION OF DONE (DoD)</t>
  </si>
  <si>
    <t>📝 Kode &amp; Logika</t>
  </si>
  <si>
    <t>☐</t>
  </si>
  <si>
    <t>Kode telah di-review oleh minimal 1 developer lain.</t>
  </si>
  <si>
    <t>Tidak ada syntax error, warning kritis, atau debugging code (dd, var_dump, dll.) yang tertinggal.</t>
  </si>
  <si>
    <t>Logika bisnis sesuai dengan spesifikasi di PRD dan User Story.</t>
  </si>
  <si>
    <t>Validasi input dilakukan pada sisi server (Laravel validation).</t>
  </si>
  <si>
    <t>Error handling dan pesan error informatif sudah diimplementasikan.</t>
  </si>
  <si>
    <t>🧪 Testing</t>
  </si>
  <si>
    <t>Unit test telah dibuat dan seluruhnya lulus (php artisan test).</t>
  </si>
  <si>
    <t>Fitur telah diuji secara manual di browser/device (Chrome mobile &amp; desktop).</t>
  </si>
  <si>
    <t>Tidak ada bug kritis atau blocker yang belum terselesaikan.</t>
  </si>
  <si>
    <t>Edge cases utama telah dipertimbangkan dan diuji.</t>
  </si>
  <si>
    <t>🎨 UI/UX</t>
  </si>
  <si>
    <t>Tampilan responsif di perangkat mobile (360px ke atas) dan desktop.</t>
  </si>
  <si>
    <t>Loading time halaman &lt; 2 detik pada simulasi jaringan 4G.</t>
  </si>
  <si>
    <t>Semua teks menggunakan Bahasa Indonesia yang benar.</t>
  </si>
  <si>
    <t>Feedback visual tersedia untuk setiap aksi pengguna (loading, success, error).</t>
  </si>
  <si>
    <t>🔒 Keamanan</t>
  </si>
  <si>
    <t>Route/endpoint dilindungi middleware auth sesuai role yang diizinkan.</t>
  </si>
  <si>
    <t>Data sensitif (password, saldo) tidak pernah ditampilkan dalam log.</t>
  </si>
  <si>
    <t>Input pengguna tidak dapat menyebabkan SQL injection atau XSS.</t>
  </si>
  <si>
    <t>📦 Deployment</t>
  </si>
  <si>
    <t>Kode telah di-merge ke branch main/develop setelah PR di-approve.</t>
  </si>
  <si>
    <t>Migration database berhasil dijalankan di environment staging.</t>
  </si>
  <si>
    <t>Fitur berfungsi normal setelah deploy ke staging.</t>
  </si>
  <si>
    <t>Dokumentasi singkat (komentar kode atau README update) sudah diperbarui jika diperlukan.</t>
  </si>
  <si>
    <t>BURNDOWN DATA (Planned SP Remaining)</t>
  </si>
  <si>
    <t>VELOCITY &amp; SPRINT PROGRESS</t>
  </si>
  <si>
    <t>PRODUCT BACKLOG - BANK SAMPAH APP</t>
  </si>
  <si>
    <t>SPRINT 0</t>
  </si>
  <si>
    <t>SPRINT 1</t>
  </si>
  <si>
    <t>SPRINT 2</t>
  </si>
  <si>
    <t>SPRINT 3</t>
  </si>
  <si>
    <t>SPRINT 4</t>
  </si>
  <si>
    <t>SPRINT 5</t>
  </si>
  <si>
    <t>SPRINT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</si>
</sst>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6"/>
      <color rgb="FF375623"/>
      <name val="Arial"/>
    </font>
    <font>
      <i/>
      <sz val="10"/>
      <name val="Arial"/>
    </font>
    <font>
      <b/>
      <sz val="12"/>
      <color rgb="FF1F4E79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1"/>
      <color rgb="FFFFFFFF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i/>
      <sz val="9"/>
      <name val="Arial"/>
    </font>
    <font>
      <b/>
      <sz val="10"/>
      <color rgb="FFC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375623"/>
        <bgColor rgb="FF375623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0" fillId="0" borderId="1" xfId="0" applyBorder="1"/>
    <xf numFmtId="0" fontId="10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0" fillId="0" borderId="0" xfId="0"/>
    <xf numFmtId="0" fontId="1" fillId="0" borderId="0" xfId="0" applyFont="1" applyAlignment="1"/>
    <xf numFmtId="0" fontId="0" fillId="0" borderId="0" xfId="0" applyAlignment="1"/>
    <xf numFmtId="0" fontId="3" fillId="0" borderId="0" xfId="0" applyFont="1" applyAlignment="1"/>
    <xf numFmtId="0" fontId="5" fillId="0" borderId="1" xfId="0" applyFont="1" applyBorder="1" applyAlignment="1">
      <alignment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1"/>
  <sheetViews>
    <sheetView workbookViewId="0"/>
  </sheetViews>
  <sheetFormatPr defaultRowHeight="15" x14ac:dyDescent="0.25"/>
  <cols>
    <col min="1" max="1" width="10" customWidth="1"/>
    <col min="2" max="2" width="62" customWidth="1"/>
    <col min="3" max="3" width="53" customWidth="1"/>
    <col min="4" max="4" width="10" customWidth="1"/>
    <col min="5" max="5" width="30" customWidth="1"/>
    <col min="6" max="6" width="40" customWidth="1"/>
    <col min="7" max="7" width="22" customWidth="1"/>
    <col min="8" max="9" width="15" customWidth="1"/>
    <col min="10" max="10" width="16" customWidth="1"/>
  </cols>
  <sheetData>
    <row r="2" spans="2:10" ht="24.95" customHeight="1" x14ac:dyDescent="0.3">
      <c r="B2" s="1" t="s">
        <v>0</v>
      </c>
    </row>
    <row r="3" spans="2:10" ht="18" customHeight="1" x14ac:dyDescent="0.25">
      <c r="B3" s="2" t="s">
        <v>1</v>
      </c>
    </row>
    <row r="5" spans="2:10" ht="15.75" x14ac:dyDescent="0.25">
      <c r="B5" s="3" t="s">
        <v>2</v>
      </c>
      <c r="E5" s="3" t="s">
        <v>3</v>
      </c>
    </row>
    <row r="6" spans="2:10" x14ac:dyDescent="0.25">
      <c r="B6" s="4" t="s">
        <v>4</v>
      </c>
      <c r="C6" s="5" t="s">
        <v>5</v>
      </c>
      <c r="E6" s="6" t="s">
        <v>6</v>
      </c>
      <c r="F6" s="6" t="s">
        <v>7</v>
      </c>
      <c r="G6" s="6" t="s">
        <v>8</v>
      </c>
      <c r="H6" s="6" t="s">
        <v>9</v>
      </c>
      <c r="I6" s="6" t="s">
        <v>10</v>
      </c>
      <c r="J6" s="6" t="s">
        <v>11</v>
      </c>
    </row>
    <row r="7" spans="2:10" x14ac:dyDescent="0.25">
      <c r="B7" s="4" t="s">
        <v>12</v>
      </c>
      <c r="C7" s="5" t="s">
        <v>13</v>
      </c>
      <c r="E7" s="7" t="s">
        <v>14</v>
      </c>
      <c r="F7" s="5" t="s">
        <v>15</v>
      </c>
      <c r="G7" s="7" t="s">
        <v>16</v>
      </c>
      <c r="H7" s="7" t="s">
        <v>17</v>
      </c>
      <c r="I7" s="7" t="s">
        <v>18</v>
      </c>
      <c r="J7" s="8">
        <v>16</v>
      </c>
    </row>
    <row r="8" spans="2:10" x14ac:dyDescent="0.25">
      <c r="B8" s="4" t="s">
        <v>19</v>
      </c>
      <c r="C8" s="5" t="s">
        <v>20</v>
      </c>
      <c r="E8" s="7" t="s">
        <v>21</v>
      </c>
      <c r="F8" s="5" t="s">
        <v>22</v>
      </c>
      <c r="G8" s="7" t="s">
        <v>23</v>
      </c>
      <c r="H8" s="7" t="s">
        <v>24</v>
      </c>
      <c r="I8" s="7" t="s">
        <v>25</v>
      </c>
      <c r="J8" s="8">
        <v>47</v>
      </c>
    </row>
    <row r="9" spans="2:10" x14ac:dyDescent="0.25">
      <c r="B9" s="4" t="s">
        <v>26</v>
      </c>
      <c r="C9" s="5" t="s">
        <v>27</v>
      </c>
      <c r="E9" s="7" t="s">
        <v>28</v>
      </c>
      <c r="F9" s="5" t="s">
        <v>29</v>
      </c>
      <c r="G9" s="7" t="s">
        <v>23</v>
      </c>
      <c r="H9" s="7" t="s">
        <v>30</v>
      </c>
      <c r="I9" s="7" t="s">
        <v>31</v>
      </c>
      <c r="J9" s="8">
        <v>48</v>
      </c>
    </row>
    <row r="10" spans="2:10" x14ac:dyDescent="0.25">
      <c r="B10" s="4" t="s">
        <v>32</v>
      </c>
      <c r="C10" s="5" t="s">
        <v>33</v>
      </c>
      <c r="E10" s="7" t="s">
        <v>34</v>
      </c>
      <c r="F10" s="5" t="s">
        <v>35</v>
      </c>
      <c r="G10" s="7" t="s">
        <v>36</v>
      </c>
      <c r="H10" s="7" t="s">
        <v>37</v>
      </c>
      <c r="I10" s="7" t="s">
        <v>38</v>
      </c>
      <c r="J10" s="8">
        <v>55</v>
      </c>
    </row>
    <row r="11" spans="2:10" x14ac:dyDescent="0.25">
      <c r="B11" s="4" t="s">
        <v>39</v>
      </c>
      <c r="C11" s="5" t="s">
        <v>17</v>
      </c>
      <c r="E11" s="7" t="s">
        <v>40</v>
      </c>
      <c r="F11" s="5" t="s">
        <v>41</v>
      </c>
      <c r="G11" s="7" t="s">
        <v>42</v>
      </c>
      <c r="H11" s="7" t="s">
        <v>43</v>
      </c>
      <c r="I11" s="7" t="s">
        <v>44</v>
      </c>
      <c r="J11" s="8">
        <v>44</v>
      </c>
    </row>
    <row r="12" spans="2:10" x14ac:dyDescent="0.25">
      <c r="B12" s="4" t="s">
        <v>45</v>
      </c>
      <c r="C12" s="5" t="s">
        <v>46</v>
      </c>
      <c r="E12" s="7" t="s">
        <v>47</v>
      </c>
      <c r="F12" s="5" t="s">
        <v>48</v>
      </c>
      <c r="G12" s="7" t="s">
        <v>49</v>
      </c>
      <c r="H12" s="7" t="s">
        <v>50</v>
      </c>
      <c r="I12" s="7" t="s">
        <v>51</v>
      </c>
      <c r="J12" s="8">
        <v>52</v>
      </c>
    </row>
    <row r="13" spans="2:10" x14ac:dyDescent="0.25">
      <c r="B13" s="4" t="s">
        <v>52</v>
      </c>
      <c r="C13" s="5" t="s">
        <v>53</v>
      </c>
      <c r="E13" s="7" t="s">
        <v>54</v>
      </c>
      <c r="F13" s="5" t="s">
        <v>55</v>
      </c>
      <c r="G13" s="7" t="s">
        <v>56</v>
      </c>
      <c r="H13" s="7" t="s">
        <v>57</v>
      </c>
      <c r="I13" s="7" t="s">
        <v>46</v>
      </c>
      <c r="J13" s="8">
        <v>27</v>
      </c>
    </row>
    <row r="14" spans="2:10" x14ac:dyDescent="0.25">
      <c r="B14" s="4" t="s">
        <v>58</v>
      </c>
      <c r="C14" s="5" t="s">
        <v>59</v>
      </c>
    </row>
    <row r="15" spans="2:10" x14ac:dyDescent="0.25">
      <c r="B15" s="4" t="s">
        <v>60</v>
      </c>
      <c r="C15" s="5" t="s">
        <v>61</v>
      </c>
    </row>
    <row r="16" spans="2:10" ht="15.75" x14ac:dyDescent="0.25">
      <c r="E16" s="3" t="s">
        <v>62</v>
      </c>
    </row>
    <row r="17" spans="5:8" x14ac:dyDescent="0.25">
      <c r="E17" s="6" t="s">
        <v>63</v>
      </c>
      <c r="F17" s="6" t="s">
        <v>64</v>
      </c>
      <c r="G17" s="6" t="s">
        <v>65</v>
      </c>
      <c r="H17" s="6" t="s">
        <v>66</v>
      </c>
    </row>
    <row r="18" spans="5:8" x14ac:dyDescent="0.25">
      <c r="E18" s="5" t="s">
        <v>67</v>
      </c>
      <c r="F18" s="8">
        <v>33</v>
      </c>
      <c r="G18" s="8">
        <v>166</v>
      </c>
      <c r="H18" s="7" t="s">
        <v>68</v>
      </c>
    </row>
    <row r="19" spans="5:8" x14ac:dyDescent="0.25">
      <c r="E19" s="5" t="s">
        <v>69</v>
      </c>
      <c r="F19" s="8">
        <v>14</v>
      </c>
      <c r="G19" s="8">
        <v>81</v>
      </c>
      <c r="H19" s="7" t="s">
        <v>70</v>
      </c>
    </row>
    <row r="20" spans="5:8" x14ac:dyDescent="0.25">
      <c r="E20" s="5" t="s">
        <v>71</v>
      </c>
      <c r="F20" s="8">
        <v>5</v>
      </c>
      <c r="G20" s="8">
        <v>42</v>
      </c>
      <c r="H20" s="7" t="s">
        <v>72</v>
      </c>
    </row>
    <row r="21" spans="5:8" x14ac:dyDescent="0.25">
      <c r="E21" s="5" t="s">
        <v>73</v>
      </c>
      <c r="F21" s="8">
        <v>0</v>
      </c>
      <c r="G21" s="8">
        <v>0</v>
      </c>
      <c r="H21" s="7" t="s">
        <v>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topLeftCell="A22" workbookViewId="0">
      <selection activeCell="D6" sqref="D6"/>
    </sheetView>
  </sheetViews>
  <sheetFormatPr defaultRowHeight="15" x14ac:dyDescent="0.25"/>
  <cols>
    <col min="1" max="1" width="4.5703125" customWidth="1"/>
    <col min="2" max="2" width="10" customWidth="1"/>
    <col min="3" max="3" width="15" customWidth="1"/>
    <col min="4" max="4" width="92" customWidth="1"/>
    <col min="5" max="5" width="47" customWidth="1"/>
    <col min="6" max="6" width="16" customWidth="1"/>
    <col min="7" max="7" width="15" customWidth="1"/>
    <col min="8" max="8" width="10" customWidth="1"/>
    <col min="9" max="9" width="12" customWidth="1"/>
    <col min="10" max="10" width="10" customWidth="1"/>
  </cols>
  <sheetData>
    <row r="1" spans="1:10" ht="30" customHeight="1" x14ac:dyDescent="0.3">
      <c r="A1" s="18" t="s">
        <v>358</v>
      </c>
      <c r="B1" s="18"/>
      <c r="C1" s="18"/>
      <c r="D1" s="17"/>
    </row>
    <row r="3" spans="1:10" x14ac:dyDescent="0.25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  <c r="G3" s="6" t="s">
        <v>81</v>
      </c>
      <c r="H3" s="6" t="s">
        <v>82</v>
      </c>
      <c r="I3" s="6" t="s">
        <v>6</v>
      </c>
      <c r="J3" s="6" t="s">
        <v>83</v>
      </c>
    </row>
    <row r="4" spans="1:10" x14ac:dyDescent="0.25">
      <c r="A4" s="7">
        <v>1</v>
      </c>
      <c r="B4" s="7" t="s">
        <v>84</v>
      </c>
      <c r="C4" s="5" t="s">
        <v>85</v>
      </c>
      <c r="D4" s="5" t="s">
        <v>86</v>
      </c>
      <c r="E4" s="5" t="s">
        <v>87</v>
      </c>
      <c r="F4" s="7" t="s">
        <v>88</v>
      </c>
      <c r="G4" s="7" t="s">
        <v>67</v>
      </c>
      <c r="H4" s="8">
        <v>3</v>
      </c>
      <c r="I4" s="7" t="s">
        <v>16</v>
      </c>
      <c r="J4" s="9" t="s">
        <v>89</v>
      </c>
    </row>
    <row r="5" spans="1:10" x14ac:dyDescent="0.25">
      <c r="A5" s="7">
        <v>2</v>
      </c>
      <c r="B5" s="7" t="s">
        <v>90</v>
      </c>
      <c r="C5" s="5" t="s">
        <v>91</v>
      </c>
      <c r="D5" s="5" t="s">
        <v>92</v>
      </c>
      <c r="E5" s="5" t="s">
        <v>93</v>
      </c>
      <c r="F5" s="7" t="s">
        <v>94</v>
      </c>
      <c r="G5" s="7" t="s">
        <v>67</v>
      </c>
      <c r="H5" s="8">
        <v>5</v>
      </c>
      <c r="I5" s="7" t="s">
        <v>16</v>
      </c>
      <c r="J5" s="9" t="s">
        <v>89</v>
      </c>
    </row>
    <row r="6" spans="1:10" x14ac:dyDescent="0.25">
      <c r="A6" s="7">
        <v>3</v>
      </c>
      <c r="B6" s="7" t="s">
        <v>95</v>
      </c>
      <c r="C6" s="5" t="s">
        <v>91</v>
      </c>
      <c r="D6" s="5" t="s">
        <v>96</v>
      </c>
      <c r="E6" s="5" t="s">
        <v>97</v>
      </c>
      <c r="F6" s="7" t="s">
        <v>94</v>
      </c>
      <c r="G6" s="7" t="s">
        <v>69</v>
      </c>
      <c r="H6" s="8">
        <v>3</v>
      </c>
      <c r="I6" s="7" t="s">
        <v>16</v>
      </c>
      <c r="J6" s="9" t="s">
        <v>89</v>
      </c>
    </row>
    <row r="7" spans="1:10" x14ac:dyDescent="0.25">
      <c r="A7" s="7">
        <v>4</v>
      </c>
      <c r="B7" s="7" t="s">
        <v>98</v>
      </c>
      <c r="C7" s="5" t="s">
        <v>99</v>
      </c>
      <c r="D7" s="5" t="s">
        <v>100</v>
      </c>
      <c r="E7" s="5" t="s">
        <v>101</v>
      </c>
      <c r="F7" s="7" t="s">
        <v>102</v>
      </c>
      <c r="G7" s="7" t="s">
        <v>67</v>
      </c>
      <c r="H7" s="8">
        <v>3</v>
      </c>
      <c r="I7" s="7" t="s">
        <v>16</v>
      </c>
      <c r="J7" s="9" t="s">
        <v>89</v>
      </c>
    </row>
    <row r="8" spans="1:10" x14ac:dyDescent="0.25">
      <c r="A8" s="7">
        <v>5</v>
      </c>
      <c r="B8" s="7" t="s">
        <v>103</v>
      </c>
      <c r="C8" s="5" t="s">
        <v>104</v>
      </c>
      <c r="D8" s="5" t="s">
        <v>105</v>
      </c>
      <c r="E8" s="5" t="s">
        <v>106</v>
      </c>
      <c r="F8" s="7" t="s">
        <v>88</v>
      </c>
      <c r="G8" s="7" t="s">
        <v>67</v>
      </c>
      <c r="H8" s="8">
        <v>2</v>
      </c>
      <c r="I8" s="7" t="s">
        <v>16</v>
      </c>
      <c r="J8" s="9" t="s">
        <v>89</v>
      </c>
    </row>
    <row r="9" spans="1:10" x14ac:dyDescent="0.25">
      <c r="A9" s="7">
        <v>6</v>
      </c>
      <c r="B9" s="7" t="s">
        <v>107</v>
      </c>
      <c r="C9" s="5" t="s">
        <v>108</v>
      </c>
      <c r="D9" s="5" t="s">
        <v>109</v>
      </c>
      <c r="E9" s="5" t="s">
        <v>110</v>
      </c>
      <c r="F9" s="7" t="s">
        <v>111</v>
      </c>
      <c r="G9" s="7" t="s">
        <v>67</v>
      </c>
      <c r="H9" s="8">
        <v>5</v>
      </c>
      <c r="I9" s="7" t="s">
        <v>112</v>
      </c>
      <c r="J9" s="9" t="s">
        <v>89</v>
      </c>
    </row>
    <row r="10" spans="1:10" x14ac:dyDescent="0.25">
      <c r="A10" s="7">
        <v>7</v>
      </c>
      <c r="B10" s="7" t="s">
        <v>113</v>
      </c>
      <c r="C10" s="5" t="s">
        <v>108</v>
      </c>
      <c r="D10" s="5" t="s">
        <v>114</v>
      </c>
      <c r="E10" s="5" t="s">
        <v>115</v>
      </c>
      <c r="F10" s="7" t="s">
        <v>102</v>
      </c>
      <c r="G10" s="7" t="s">
        <v>67</v>
      </c>
      <c r="H10" s="8">
        <v>3</v>
      </c>
      <c r="I10" s="7" t="s">
        <v>112</v>
      </c>
      <c r="J10" s="9" t="s">
        <v>89</v>
      </c>
    </row>
    <row r="11" spans="1:10" x14ac:dyDescent="0.25">
      <c r="A11" s="7">
        <v>8</v>
      </c>
      <c r="B11" s="7" t="s">
        <v>116</v>
      </c>
      <c r="C11" s="5" t="s">
        <v>108</v>
      </c>
      <c r="D11" s="5" t="s">
        <v>117</v>
      </c>
      <c r="E11" s="5" t="s">
        <v>118</v>
      </c>
      <c r="F11" s="7" t="s">
        <v>111</v>
      </c>
      <c r="G11" s="7" t="s">
        <v>67</v>
      </c>
      <c r="H11" s="8">
        <v>2</v>
      </c>
      <c r="I11" s="7" t="s">
        <v>112</v>
      </c>
      <c r="J11" s="9" t="s">
        <v>89</v>
      </c>
    </row>
    <row r="12" spans="1:10" x14ac:dyDescent="0.25">
      <c r="A12" s="7">
        <v>9</v>
      </c>
      <c r="B12" s="7" t="s">
        <v>119</v>
      </c>
      <c r="C12" s="5" t="s">
        <v>120</v>
      </c>
      <c r="D12" s="5" t="s">
        <v>121</v>
      </c>
      <c r="E12" s="5" t="s">
        <v>122</v>
      </c>
      <c r="F12" s="7" t="s">
        <v>120</v>
      </c>
      <c r="G12" s="7" t="s">
        <v>67</v>
      </c>
      <c r="H12" s="8">
        <v>5</v>
      </c>
      <c r="I12" s="7" t="s">
        <v>112</v>
      </c>
      <c r="J12" s="9" t="s">
        <v>89</v>
      </c>
    </row>
    <row r="13" spans="1:10" x14ac:dyDescent="0.25">
      <c r="A13" s="7">
        <v>10</v>
      </c>
      <c r="B13" s="7" t="s">
        <v>123</v>
      </c>
      <c r="C13" s="5" t="s">
        <v>120</v>
      </c>
      <c r="D13" s="5" t="s">
        <v>124</v>
      </c>
      <c r="E13" s="5" t="s">
        <v>125</v>
      </c>
      <c r="F13" s="7" t="s">
        <v>120</v>
      </c>
      <c r="G13" s="7" t="s">
        <v>67</v>
      </c>
      <c r="H13" s="8">
        <v>3</v>
      </c>
      <c r="I13" s="7" t="s">
        <v>112</v>
      </c>
      <c r="J13" s="9" t="s">
        <v>89</v>
      </c>
    </row>
    <row r="14" spans="1:10" x14ac:dyDescent="0.25">
      <c r="A14" s="7">
        <v>11</v>
      </c>
      <c r="B14" s="7" t="s">
        <v>126</v>
      </c>
      <c r="C14" s="5" t="s">
        <v>127</v>
      </c>
      <c r="D14" s="5" t="s">
        <v>128</v>
      </c>
      <c r="E14" s="5" t="s">
        <v>129</v>
      </c>
      <c r="F14" s="7" t="s">
        <v>120</v>
      </c>
      <c r="G14" s="7" t="s">
        <v>67</v>
      </c>
      <c r="H14" s="8">
        <v>8</v>
      </c>
      <c r="I14" s="7" t="s">
        <v>112</v>
      </c>
      <c r="J14" s="9" t="s">
        <v>89</v>
      </c>
    </row>
    <row r="15" spans="1:10" x14ac:dyDescent="0.25">
      <c r="A15" s="7">
        <v>12</v>
      </c>
      <c r="B15" s="7" t="s">
        <v>130</v>
      </c>
      <c r="C15" s="5" t="s">
        <v>127</v>
      </c>
      <c r="D15" s="5" t="s">
        <v>131</v>
      </c>
      <c r="E15" s="5" t="s">
        <v>132</v>
      </c>
      <c r="F15" s="7" t="s">
        <v>102</v>
      </c>
      <c r="G15" s="7" t="s">
        <v>67</v>
      </c>
      <c r="H15" s="8">
        <v>5</v>
      </c>
      <c r="I15" s="7" t="s">
        <v>112</v>
      </c>
      <c r="J15" s="9" t="s">
        <v>89</v>
      </c>
    </row>
    <row r="16" spans="1:10" x14ac:dyDescent="0.25">
      <c r="A16" s="7">
        <v>13</v>
      </c>
      <c r="B16" s="7" t="s">
        <v>133</v>
      </c>
      <c r="C16" s="5" t="s">
        <v>127</v>
      </c>
      <c r="D16" s="5" t="s">
        <v>134</v>
      </c>
      <c r="E16" s="5" t="s">
        <v>135</v>
      </c>
      <c r="F16" s="7" t="s">
        <v>120</v>
      </c>
      <c r="G16" s="7" t="s">
        <v>67</v>
      </c>
      <c r="H16" s="8">
        <v>3</v>
      </c>
      <c r="I16" s="7" t="s">
        <v>112</v>
      </c>
      <c r="J16" s="9" t="s">
        <v>89</v>
      </c>
    </row>
    <row r="17" spans="1:10" x14ac:dyDescent="0.25">
      <c r="A17" s="7">
        <v>14</v>
      </c>
      <c r="B17" s="7" t="s">
        <v>136</v>
      </c>
      <c r="C17" s="5" t="s">
        <v>120</v>
      </c>
      <c r="D17" s="5" t="s">
        <v>137</v>
      </c>
      <c r="E17" s="5" t="s">
        <v>138</v>
      </c>
      <c r="F17" s="7" t="s">
        <v>120</v>
      </c>
      <c r="G17" s="7" t="s">
        <v>67</v>
      </c>
      <c r="H17" s="8">
        <v>5</v>
      </c>
      <c r="I17" s="7" t="s">
        <v>112</v>
      </c>
      <c r="J17" s="9" t="s">
        <v>89</v>
      </c>
    </row>
    <row r="18" spans="1:10" x14ac:dyDescent="0.25">
      <c r="A18" s="7">
        <v>15</v>
      </c>
      <c r="B18" s="7" t="s">
        <v>139</v>
      </c>
      <c r="C18" s="5" t="s">
        <v>120</v>
      </c>
      <c r="D18" s="5" t="s">
        <v>140</v>
      </c>
      <c r="E18" s="5" t="s">
        <v>141</v>
      </c>
      <c r="F18" s="7" t="s">
        <v>120</v>
      </c>
      <c r="G18" s="7" t="s">
        <v>67</v>
      </c>
      <c r="H18" s="8">
        <v>8</v>
      </c>
      <c r="I18" s="7" t="s">
        <v>112</v>
      </c>
      <c r="J18" s="9" t="s">
        <v>89</v>
      </c>
    </row>
    <row r="19" spans="1:10" x14ac:dyDescent="0.25">
      <c r="A19" s="7">
        <v>16</v>
      </c>
      <c r="B19" s="7" t="s">
        <v>142</v>
      </c>
      <c r="C19" s="5" t="s">
        <v>143</v>
      </c>
      <c r="D19" s="5" t="s">
        <v>144</v>
      </c>
      <c r="E19" s="5" t="s">
        <v>145</v>
      </c>
      <c r="F19" s="7" t="s">
        <v>143</v>
      </c>
      <c r="G19" s="7" t="s">
        <v>67</v>
      </c>
      <c r="H19" s="8">
        <v>5</v>
      </c>
      <c r="I19" s="7" t="s">
        <v>146</v>
      </c>
      <c r="J19" s="9" t="s">
        <v>89</v>
      </c>
    </row>
    <row r="20" spans="1:10" x14ac:dyDescent="0.25">
      <c r="A20" s="7">
        <v>17</v>
      </c>
      <c r="B20" s="7" t="s">
        <v>147</v>
      </c>
      <c r="C20" s="5" t="s">
        <v>143</v>
      </c>
      <c r="D20" s="5" t="s">
        <v>148</v>
      </c>
      <c r="E20" s="5" t="s">
        <v>149</v>
      </c>
      <c r="F20" s="7" t="s">
        <v>143</v>
      </c>
      <c r="G20" s="7" t="s">
        <v>67</v>
      </c>
      <c r="H20" s="8">
        <v>5</v>
      </c>
      <c r="I20" s="7" t="s">
        <v>146</v>
      </c>
      <c r="J20" s="9" t="s">
        <v>89</v>
      </c>
    </row>
    <row r="21" spans="1:10" x14ac:dyDescent="0.25">
      <c r="A21" s="7">
        <v>18</v>
      </c>
      <c r="B21" s="7" t="s">
        <v>150</v>
      </c>
      <c r="C21" s="5" t="s">
        <v>143</v>
      </c>
      <c r="D21" s="5" t="s">
        <v>151</v>
      </c>
      <c r="E21" s="5" t="s">
        <v>152</v>
      </c>
      <c r="F21" s="7" t="s">
        <v>143</v>
      </c>
      <c r="G21" s="7" t="s">
        <v>67</v>
      </c>
      <c r="H21" s="8">
        <v>5</v>
      </c>
      <c r="I21" s="7" t="s">
        <v>146</v>
      </c>
      <c r="J21" s="9" t="s">
        <v>89</v>
      </c>
    </row>
    <row r="22" spans="1:10" x14ac:dyDescent="0.25">
      <c r="A22" s="7">
        <v>19</v>
      </c>
      <c r="B22" s="7" t="s">
        <v>153</v>
      </c>
      <c r="C22" s="5" t="s">
        <v>143</v>
      </c>
      <c r="D22" s="5" t="s">
        <v>154</v>
      </c>
      <c r="E22" s="5" t="s">
        <v>155</v>
      </c>
      <c r="F22" s="7" t="s">
        <v>143</v>
      </c>
      <c r="G22" s="7" t="s">
        <v>69</v>
      </c>
      <c r="H22" s="8">
        <v>5</v>
      </c>
      <c r="I22" s="7" t="s">
        <v>146</v>
      </c>
      <c r="J22" s="9" t="s">
        <v>89</v>
      </c>
    </row>
    <row r="23" spans="1:10" x14ac:dyDescent="0.25">
      <c r="A23" s="7">
        <v>20</v>
      </c>
      <c r="B23" s="7" t="s">
        <v>156</v>
      </c>
      <c r="C23" s="5" t="s">
        <v>143</v>
      </c>
      <c r="D23" s="5" t="s">
        <v>157</v>
      </c>
      <c r="E23" s="5" t="s">
        <v>158</v>
      </c>
      <c r="F23" s="7" t="s">
        <v>143</v>
      </c>
      <c r="G23" s="7" t="s">
        <v>67</v>
      </c>
      <c r="H23" s="8">
        <v>5</v>
      </c>
      <c r="I23" s="7" t="s">
        <v>146</v>
      </c>
      <c r="J23" s="9" t="s">
        <v>89</v>
      </c>
    </row>
    <row r="24" spans="1:10" x14ac:dyDescent="0.25">
      <c r="A24" s="7">
        <v>21</v>
      </c>
      <c r="B24" s="7" t="s">
        <v>159</v>
      </c>
      <c r="C24" s="5" t="s">
        <v>160</v>
      </c>
      <c r="D24" s="5" t="s">
        <v>161</v>
      </c>
      <c r="E24" s="5" t="s">
        <v>162</v>
      </c>
      <c r="F24" s="7" t="s">
        <v>160</v>
      </c>
      <c r="G24" s="7" t="s">
        <v>67</v>
      </c>
      <c r="H24" s="8">
        <v>5</v>
      </c>
      <c r="I24" s="7" t="s">
        <v>146</v>
      </c>
      <c r="J24" s="9" t="s">
        <v>89</v>
      </c>
    </row>
    <row r="25" spans="1:10" x14ac:dyDescent="0.25">
      <c r="A25" s="7">
        <v>22</v>
      </c>
      <c r="B25" s="7" t="s">
        <v>163</v>
      </c>
      <c r="C25" s="5" t="s">
        <v>164</v>
      </c>
      <c r="D25" s="5" t="s">
        <v>165</v>
      </c>
      <c r="E25" s="5" t="s">
        <v>166</v>
      </c>
      <c r="F25" s="7" t="s">
        <v>164</v>
      </c>
      <c r="G25" s="7" t="s">
        <v>67</v>
      </c>
      <c r="H25" s="8">
        <v>5</v>
      </c>
      <c r="I25" s="7" t="s">
        <v>146</v>
      </c>
      <c r="J25" s="9" t="s">
        <v>89</v>
      </c>
    </row>
    <row r="26" spans="1:10" x14ac:dyDescent="0.25">
      <c r="A26" s="7">
        <v>23</v>
      </c>
      <c r="B26" s="7" t="s">
        <v>167</v>
      </c>
      <c r="C26" s="5" t="s">
        <v>164</v>
      </c>
      <c r="D26" s="5" t="s">
        <v>168</v>
      </c>
      <c r="E26" s="5" t="s">
        <v>169</v>
      </c>
      <c r="F26" s="7" t="s">
        <v>164</v>
      </c>
      <c r="G26" s="7" t="s">
        <v>67</v>
      </c>
      <c r="H26" s="8">
        <v>5</v>
      </c>
      <c r="I26" s="7" t="s">
        <v>146</v>
      </c>
      <c r="J26" s="9" t="s">
        <v>89</v>
      </c>
    </row>
    <row r="27" spans="1:10" x14ac:dyDescent="0.25">
      <c r="A27" s="7">
        <v>24</v>
      </c>
      <c r="B27" s="7" t="s">
        <v>170</v>
      </c>
      <c r="C27" s="5" t="s">
        <v>120</v>
      </c>
      <c r="D27" s="5" t="s">
        <v>171</v>
      </c>
      <c r="E27" s="5" t="s">
        <v>172</v>
      </c>
      <c r="F27" s="7" t="s">
        <v>120</v>
      </c>
      <c r="G27" s="7" t="s">
        <v>67</v>
      </c>
      <c r="H27" s="8">
        <v>3</v>
      </c>
      <c r="I27" s="7" t="s">
        <v>146</v>
      </c>
      <c r="J27" s="9" t="s">
        <v>89</v>
      </c>
    </row>
    <row r="28" spans="1:10" x14ac:dyDescent="0.25">
      <c r="A28" s="7">
        <v>25</v>
      </c>
      <c r="B28" s="7" t="s">
        <v>173</v>
      </c>
      <c r="C28" s="5" t="s">
        <v>120</v>
      </c>
      <c r="D28" s="5" t="s">
        <v>174</v>
      </c>
      <c r="E28" s="5" t="s">
        <v>175</v>
      </c>
      <c r="F28" s="7" t="s">
        <v>120</v>
      </c>
      <c r="G28" s="7" t="s">
        <v>67</v>
      </c>
      <c r="H28" s="8">
        <v>5</v>
      </c>
      <c r="I28" s="7" t="s">
        <v>146</v>
      </c>
      <c r="J28" s="9" t="s">
        <v>89</v>
      </c>
    </row>
    <row r="29" spans="1:10" x14ac:dyDescent="0.25">
      <c r="A29" s="7">
        <v>26</v>
      </c>
      <c r="B29" s="7" t="s">
        <v>176</v>
      </c>
      <c r="C29" s="5" t="s">
        <v>177</v>
      </c>
      <c r="D29" s="5" t="s">
        <v>178</v>
      </c>
      <c r="E29" s="5" t="s">
        <v>179</v>
      </c>
      <c r="F29" s="7" t="s">
        <v>164</v>
      </c>
      <c r="G29" s="7" t="s">
        <v>67</v>
      </c>
      <c r="H29" s="8">
        <v>8</v>
      </c>
      <c r="I29" s="7" t="s">
        <v>180</v>
      </c>
      <c r="J29" s="10" t="s">
        <v>181</v>
      </c>
    </row>
    <row r="30" spans="1:10" x14ac:dyDescent="0.25">
      <c r="A30" s="7">
        <v>27</v>
      </c>
      <c r="B30" s="7" t="s">
        <v>182</v>
      </c>
      <c r="C30" s="5" t="s">
        <v>177</v>
      </c>
      <c r="D30" s="5" t="s">
        <v>183</v>
      </c>
      <c r="E30" s="5" t="s">
        <v>184</v>
      </c>
      <c r="F30" s="7" t="s">
        <v>164</v>
      </c>
      <c r="G30" s="7" t="s">
        <v>67</v>
      </c>
      <c r="H30" s="8">
        <v>8</v>
      </c>
      <c r="I30" s="7" t="s">
        <v>180</v>
      </c>
      <c r="J30" s="10" t="s">
        <v>181</v>
      </c>
    </row>
    <row r="31" spans="1:10" x14ac:dyDescent="0.25">
      <c r="A31" s="7">
        <v>28</v>
      </c>
      <c r="B31" s="7" t="s">
        <v>185</v>
      </c>
      <c r="C31" s="5" t="s">
        <v>186</v>
      </c>
      <c r="D31" s="5" t="s">
        <v>187</v>
      </c>
      <c r="E31" s="5" t="s">
        <v>188</v>
      </c>
      <c r="F31" s="7" t="s">
        <v>164</v>
      </c>
      <c r="G31" s="7" t="s">
        <v>69</v>
      </c>
      <c r="H31" s="8">
        <v>8</v>
      </c>
      <c r="I31" s="7" t="s">
        <v>180</v>
      </c>
      <c r="J31" s="10" t="s">
        <v>181</v>
      </c>
    </row>
    <row r="32" spans="1:10" x14ac:dyDescent="0.25">
      <c r="A32" s="7">
        <v>29</v>
      </c>
      <c r="B32" s="7" t="s">
        <v>189</v>
      </c>
      <c r="C32" s="5" t="s">
        <v>186</v>
      </c>
      <c r="D32" s="5" t="s">
        <v>190</v>
      </c>
      <c r="E32" s="5" t="s">
        <v>191</v>
      </c>
      <c r="F32" s="7" t="s">
        <v>164</v>
      </c>
      <c r="G32" s="7" t="s">
        <v>69</v>
      </c>
      <c r="H32" s="8">
        <v>8</v>
      </c>
      <c r="I32" s="7" t="s">
        <v>180</v>
      </c>
      <c r="J32" s="10" t="s">
        <v>181</v>
      </c>
    </row>
    <row r="33" spans="1:10" x14ac:dyDescent="0.25">
      <c r="A33" s="7">
        <v>30</v>
      </c>
      <c r="B33" s="7" t="s">
        <v>192</v>
      </c>
      <c r="C33" s="5" t="s">
        <v>186</v>
      </c>
      <c r="D33" s="5" t="s">
        <v>193</v>
      </c>
      <c r="E33" s="5" t="s">
        <v>194</v>
      </c>
      <c r="F33" s="7" t="s">
        <v>164</v>
      </c>
      <c r="G33" s="7" t="s">
        <v>69</v>
      </c>
      <c r="H33" s="8">
        <v>5</v>
      </c>
      <c r="I33" s="7" t="s">
        <v>180</v>
      </c>
      <c r="J33" s="10" t="s">
        <v>181</v>
      </c>
    </row>
    <row r="34" spans="1:10" x14ac:dyDescent="0.25">
      <c r="A34" s="7">
        <v>31</v>
      </c>
      <c r="B34" s="7" t="s">
        <v>195</v>
      </c>
      <c r="C34" s="5" t="s">
        <v>186</v>
      </c>
      <c r="D34" s="5" t="s">
        <v>196</v>
      </c>
      <c r="E34" s="5" t="s">
        <v>197</v>
      </c>
      <c r="F34" s="7" t="s">
        <v>160</v>
      </c>
      <c r="G34" s="7" t="s">
        <v>67</v>
      </c>
      <c r="H34" s="8">
        <v>5</v>
      </c>
      <c r="I34" s="7" t="s">
        <v>180</v>
      </c>
      <c r="J34" s="10" t="s">
        <v>181</v>
      </c>
    </row>
    <row r="35" spans="1:10" x14ac:dyDescent="0.25">
      <c r="A35" s="7">
        <v>32</v>
      </c>
      <c r="B35" s="7" t="s">
        <v>198</v>
      </c>
      <c r="C35" s="5" t="s">
        <v>199</v>
      </c>
      <c r="D35" s="5" t="s">
        <v>200</v>
      </c>
      <c r="E35" s="5" t="s">
        <v>201</v>
      </c>
      <c r="F35" s="7" t="s">
        <v>164</v>
      </c>
      <c r="G35" s="7" t="s">
        <v>69</v>
      </c>
      <c r="H35" s="8">
        <v>8</v>
      </c>
      <c r="I35" s="7" t="s">
        <v>180</v>
      </c>
      <c r="J35" s="10" t="s">
        <v>181</v>
      </c>
    </row>
    <row r="36" spans="1:10" x14ac:dyDescent="0.25">
      <c r="A36" s="7">
        <v>33</v>
      </c>
      <c r="B36" s="7" t="s">
        <v>202</v>
      </c>
      <c r="C36" s="5" t="s">
        <v>203</v>
      </c>
      <c r="D36" s="5" t="s">
        <v>204</v>
      </c>
      <c r="E36" s="5" t="s">
        <v>205</v>
      </c>
      <c r="F36" s="7" t="s">
        <v>164</v>
      </c>
      <c r="G36" s="7" t="s">
        <v>69</v>
      </c>
      <c r="H36" s="8">
        <v>5</v>
      </c>
      <c r="I36" s="7" t="s">
        <v>180</v>
      </c>
      <c r="J36" s="10" t="s">
        <v>181</v>
      </c>
    </row>
    <row r="37" spans="1:10" x14ac:dyDescent="0.25">
      <c r="A37" s="7">
        <v>34</v>
      </c>
      <c r="B37" s="7" t="s">
        <v>206</v>
      </c>
      <c r="C37" s="5" t="s">
        <v>207</v>
      </c>
      <c r="D37" s="5" t="s">
        <v>208</v>
      </c>
      <c r="E37" s="5" t="s">
        <v>209</v>
      </c>
      <c r="F37" s="7" t="s">
        <v>164</v>
      </c>
      <c r="G37" s="7" t="s">
        <v>67</v>
      </c>
      <c r="H37" s="8">
        <v>5</v>
      </c>
      <c r="I37" s="7" t="s">
        <v>210</v>
      </c>
      <c r="J37" s="10" t="s">
        <v>181</v>
      </c>
    </row>
    <row r="38" spans="1:10" x14ac:dyDescent="0.25">
      <c r="A38" s="7">
        <v>35</v>
      </c>
      <c r="B38" s="7" t="s">
        <v>211</v>
      </c>
      <c r="C38" s="5" t="s">
        <v>212</v>
      </c>
      <c r="D38" s="5" t="s">
        <v>213</v>
      </c>
      <c r="E38" s="5" t="s">
        <v>214</v>
      </c>
      <c r="F38" s="7" t="s">
        <v>143</v>
      </c>
      <c r="G38" s="7" t="s">
        <v>69</v>
      </c>
      <c r="H38" s="8">
        <v>8</v>
      </c>
      <c r="I38" s="7" t="s">
        <v>210</v>
      </c>
      <c r="J38" s="10" t="s">
        <v>181</v>
      </c>
    </row>
    <row r="39" spans="1:10" x14ac:dyDescent="0.25">
      <c r="A39" s="7">
        <v>36</v>
      </c>
      <c r="B39" s="7" t="s">
        <v>215</v>
      </c>
      <c r="C39" s="5" t="s">
        <v>212</v>
      </c>
      <c r="D39" s="5" t="s">
        <v>216</v>
      </c>
      <c r="E39" s="5" t="s">
        <v>217</v>
      </c>
      <c r="F39" s="7" t="s">
        <v>143</v>
      </c>
      <c r="G39" s="7" t="s">
        <v>69</v>
      </c>
      <c r="H39" s="8">
        <v>5</v>
      </c>
      <c r="I39" s="7" t="s">
        <v>210</v>
      </c>
      <c r="J39" s="10" t="s">
        <v>181</v>
      </c>
    </row>
    <row r="40" spans="1:10" x14ac:dyDescent="0.25">
      <c r="A40" s="7">
        <v>37</v>
      </c>
      <c r="B40" s="7" t="s">
        <v>218</v>
      </c>
      <c r="C40" s="5" t="s">
        <v>212</v>
      </c>
      <c r="D40" s="5" t="s">
        <v>219</v>
      </c>
      <c r="E40" s="5" t="s">
        <v>220</v>
      </c>
      <c r="F40" s="7" t="s">
        <v>120</v>
      </c>
      <c r="G40" s="7" t="s">
        <v>69</v>
      </c>
      <c r="H40" s="8">
        <v>5</v>
      </c>
      <c r="I40" s="7" t="s">
        <v>210</v>
      </c>
      <c r="J40" s="10" t="s">
        <v>181</v>
      </c>
    </row>
    <row r="41" spans="1:10" x14ac:dyDescent="0.25">
      <c r="A41" s="7">
        <v>38</v>
      </c>
      <c r="B41" s="7" t="s">
        <v>221</v>
      </c>
      <c r="C41" s="5" t="s">
        <v>222</v>
      </c>
      <c r="D41" s="5" t="s">
        <v>223</v>
      </c>
      <c r="E41" s="5" t="s">
        <v>224</v>
      </c>
      <c r="F41" s="7" t="s">
        <v>164</v>
      </c>
      <c r="G41" s="7" t="s">
        <v>67</v>
      </c>
      <c r="H41" s="8">
        <v>8</v>
      </c>
      <c r="I41" s="7" t="s">
        <v>210</v>
      </c>
      <c r="J41" s="10" t="s">
        <v>181</v>
      </c>
    </row>
    <row r="42" spans="1:10" x14ac:dyDescent="0.25">
      <c r="A42" s="7">
        <v>39</v>
      </c>
      <c r="B42" s="7" t="s">
        <v>225</v>
      </c>
      <c r="C42" s="5" t="s">
        <v>222</v>
      </c>
      <c r="D42" s="5" t="s">
        <v>226</v>
      </c>
      <c r="E42" s="5" t="s">
        <v>227</v>
      </c>
      <c r="F42" s="7" t="s">
        <v>164</v>
      </c>
      <c r="G42" s="7" t="s">
        <v>67</v>
      </c>
      <c r="H42" s="8">
        <v>5</v>
      </c>
      <c r="I42" s="7" t="s">
        <v>210</v>
      </c>
      <c r="J42" s="10" t="s">
        <v>181</v>
      </c>
    </row>
    <row r="43" spans="1:10" x14ac:dyDescent="0.25">
      <c r="A43" s="7">
        <v>40</v>
      </c>
      <c r="B43" s="7" t="s">
        <v>228</v>
      </c>
      <c r="C43" s="5" t="s">
        <v>229</v>
      </c>
      <c r="D43" s="5" t="s">
        <v>230</v>
      </c>
      <c r="E43" s="5" t="s">
        <v>231</v>
      </c>
      <c r="F43" s="7" t="s">
        <v>102</v>
      </c>
      <c r="G43" s="7" t="s">
        <v>69</v>
      </c>
      <c r="H43" s="8">
        <v>8</v>
      </c>
      <c r="I43" s="7" t="s">
        <v>210</v>
      </c>
      <c r="J43" s="10" t="s">
        <v>181</v>
      </c>
    </row>
    <row r="44" spans="1:10" x14ac:dyDescent="0.25">
      <c r="A44" s="7">
        <v>41</v>
      </c>
      <c r="B44" s="7" t="s">
        <v>232</v>
      </c>
      <c r="C44" s="5" t="s">
        <v>233</v>
      </c>
      <c r="D44" s="5" t="s">
        <v>234</v>
      </c>
      <c r="E44" s="5" t="s">
        <v>235</v>
      </c>
      <c r="F44" s="7" t="s">
        <v>120</v>
      </c>
      <c r="G44" s="7" t="s">
        <v>71</v>
      </c>
      <c r="H44" s="8">
        <v>13</v>
      </c>
      <c r="I44" s="7" t="s">
        <v>236</v>
      </c>
      <c r="J44" s="10" t="s">
        <v>181</v>
      </c>
    </row>
    <row r="45" spans="1:10" x14ac:dyDescent="0.25">
      <c r="A45" s="7">
        <v>42</v>
      </c>
      <c r="B45" s="7" t="s">
        <v>237</v>
      </c>
      <c r="C45" s="5" t="s">
        <v>233</v>
      </c>
      <c r="D45" s="5" t="s">
        <v>238</v>
      </c>
      <c r="E45" s="5" t="s">
        <v>239</v>
      </c>
      <c r="F45" s="7" t="s">
        <v>102</v>
      </c>
      <c r="G45" s="7" t="s">
        <v>71</v>
      </c>
      <c r="H45" s="8">
        <v>8</v>
      </c>
      <c r="I45" s="7" t="s">
        <v>236</v>
      </c>
      <c r="J45" s="10" t="s">
        <v>181</v>
      </c>
    </row>
    <row r="46" spans="1:10" x14ac:dyDescent="0.25">
      <c r="A46" s="7">
        <v>43</v>
      </c>
      <c r="B46" s="7" t="s">
        <v>240</v>
      </c>
      <c r="C46" s="5" t="s">
        <v>241</v>
      </c>
      <c r="D46" s="5" t="s">
        <v>242</v>
      </c>
      <c r="E46" s="5" t="s">
        <v>243</v>
      </c>
      <c r="F46" s="7" t="s">
        <v>120</v>
      </c>
      <c r="G46" s="7" t="s">
        <v>71</v>
      </c>
      <c r="H46" s="8">
        <v>8</v>
      </c>
      <c r="I46" s="7" t="s">
        <v>236</v>
      </c>
      <c r="J46" s="10" t="s">
        <v>181</v>
      </c>
    </row>
    <row r="47" spans="1:10" x14ac:dyDescent="0.25">
      <c r="A47" s="7">
        <v>44</v>
      </c>
      <c r="B47" s="7" t="s">
        <v>244</v>
      </c>
      <c r="C47" s="5" t="s">
        <v>94</v>
      </c>
      <c r="D47" s="5" t="s">
        <v>245</v>
      </c>
      <c r="E47" s="5" t="s">
        <v>246</v>
      </c>
      <c r="F47" s="7" t="s">
        <v>111</v>
      </c>
      <c r="G47" s="7" t="s">
        <v>71</v>
      </c>
      <c r="H47" s="8">
        <v>5</v>
      </c>
      <c r="I47" s="7" t="s">
        <v>236</v>
      </c>
      <c r="J47" s="10" t="s">
        <v>181</v>
      </c>
    </row>
    <row r="48" spans="1:10" x14ac:dyDescent="0.25">
      <c r="A48" s="7">
        <v>45</v>
      </c>
      <c r="B48" s="7" t="s">
        <v>247</v>
      </c>
      <c r="C48" s="5" t="s">
        <v>248</v>
      </c>
      <c r="D48" s="5" t="s">
        <v>249</v>
      </c>
      <c r="E48" s="5" t="s">
        <v>250</v>
      </c>
      <c r="F48" s="7" t="s">
        <v>120</v>
      </c>
      <c r="G48" s="7" t="s">
        <v>71</v>
      </c>
      <c r="H48" s="8">
        <v>8</v>
      </c>
      <c r="I48" s="7" t="s">
        <v>236</v>
      </c>
      <c r="J48" s="10" t="s">
        <v>181</v>
      </c>
    </row>
    <row r="49" spans="1:10" x14ac:dyDescent="0.25">
      <c r="A49" s="7">
        <v>46</v>
      </c>
      <c r="B49" s="7" t="s">
        <v>251</v>
      </c>
      <c r="C49" s="5" t="s">
        <v>252</v>
      </c>
      <c r="D49" s="5" t="s">
        <v>253</v>
      </c>
      <c r="E49" s="5" t="s">
        <v>254</v>
      </c>
      <c r="F49" s="7" t="s">
        <v>102</v>
      </c>
      <c r="G49" s="7" t="s">
        <v>69</v>
      </c>
      <c r="H49" s="8">
        <v>5</v>
      </c>
      <c r="I49" s="7" t="s">
        <v>236</v>
      </c>
      <c r="J49" s="10" t="s">
        <v>181</v>
      </c>
    </row>
    <row r="50" spans="1:10" x14ac:dyDescent="0.25">
      <c r="A50" s="7">
        <v>47</v>
      </c>
      <c r="B50" s="7" t="s">
        <v>255</v>
      </c>
      <c r="C50" s="5" t="s">
        <v>256</v>
      </c>
      <c r="D50" s="5" t="s">
        <v>257</v>
      </c>
      <c r="E50" s="5" t="s">
        <v>258</v>
      </c>
      <c r="F50" s="7" t="s">
        <v>102</v>
      </c>
      <c r="G50" s="7" t="s">
        <v>69</v>
      </c>
      <c r="H50" s="8">
        <v>5</v>
      </c>
      <c r="I50" s="7" t="s">
        <v>236</v>
      </c>
      <c r="J50" s="10" t="s">
        <v>181</v>
      </c>
    </row>
    <row r="51" spans="1:10" x14ac:dyDescent="0.25">
      <c r="A51" s="7">
        <v>48</v>
      </c>
      <c r="B51" s="7" t="s">
        <v>259</v>
      </c>
      <c r="C51" s="5" t="s">
        <v>260</v>
      </c>
      <c r="D51" s="5" t="s">
        <v>261</v>
      </c>
      <c r="E51" s="5" t="s">
        <v>262</v>
      </c>
      <c r="F51" s="7" t="s">
        <v>263</v>
      </c>
      <c r="G51" s="7" t="s">
        <v>67</v>
      </c>
      <c r="H51" s="8">
        <v>8</v>
      </c>
      <c r="I51" s="7" t="s">
        <v>264</v>
      </c>
      <c r="J51" s="10" t="s">
        <v>181</v>
      </c>
    </row>
    <row r="52" spans="1:10" x14ac:dyDescent="0.25">
      <c r="A52" s="7">
        <v>49</v>
      </c>
      <c r="B52" s="7" t="s">
        <v>265</v>
      </c>
      <c r="C52" s="5" t="s">
        <v>266</v>
      </c>
      <c r="D52" s="5" t="s">
        <v>267</v>
      </c>
      <c r="E52" s="5" t="s">
        <v>268</v>
      </c>
      <c r="F52" s="7" t="s">
        <v>88</v>
      </c>
      <c r="G52" s="7" t="s">
        <v>67</v>
      </c>
      <c r="H52" s="8">
        <v>8</v>
      </c>
      <c r="I52" s="7" t="s">
        <v>264</v>
      </c>
      <c r="J52" s="10" t="s">
        <v>181</v>
      </c>
    </row>
    <row r="53" spans="1:10" x14ac:dyDescent="0.25">
      <c r="A53" s="7">
        <v>50</v>
      </c>
      <c r="B53" s="7" t="s">
        <v>269</v>
      </c>
      <c r="C53" s="5" t="s">
        <v>270</v>
      </c>
      <c r="D53" s="5" t="s">
        <v>271</v>
      </c>
      <c r="E53" s="5" t="s">
        <v>272</v>
      </c>
      <c r="F53" s="7" t="s">
        <v>273</v>
      </c>
      <c r="G53" s="7" t="s">
        <v>67</v>
      </c>
      <c r="H53" s="8">
        <v>5</v>
      </c>
      <c r="I53" s="7" t="s">
        <v>264</v>
      </c>
      <c r="J53" s="10" t="s">
        <v>181</v>
      </c>
    </row>
    <row r="54" spans="1:10" x14ac:dyDescent="0.25">
      <c r="A54" s="7">
        <v>51</v>
      </c>
      <c r="B54" s="7" t="s">
        <v>274</v>
      </c>
      <c r="C54" s="5" t="s">
        <v>275</v>
      </c>
      <c r="D54" s="5" t="s">
        <v>276</v>
      </c>
      <c r="E54" s="5" t="s">
        <v>277</v>
      </c>
      <c r="F54" s="7" t="s">
        <v>88</v>
      </c>
      <c r="G54" s="7" t="s">
        <v>67</v>
      </c>
      <c r="H54" s="8">
        <v>3</v>
      </c>
      <c r="I54" s="7" t="s">
        <v>264</v>
      </c>
      <c r="J54" s="10" t="s">
        <v>181</v>
      </c>
    </row>
    <row r="55" spans="1:10" x14ac:dyDescent="0.25">
      <c r="A55" s="7">
        <v>52</v>
      </c>
      <c r="B55" s="7" t="s">
        <v>278</v>
      </c>
      <c r="C55" s="5" t="s">
        <v>279</v>
      </c>
      <c r="D55" s="5" t="s">
        <v>280</v>
      </c>
      <c r="E55" s="5" t="s">
        <v>281</v>
      </c>
      <c r="F55" s="7" t="s">
        <v>273</v>
      </c>
      <c r="G55" s="7" t="s">
        <v>69</v>
      </c>
      <c r="H55" s="8">
        <v>3</v>
      </c>
      <c r="I55" s="7" t="s">
        <v>264</v>
      </c>
      <c r="J55" s="10" t="s">
        <v>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zoomScaleNormal="100" workbookViewId="0"/>
  </sheetViews>
  <sheetFormatPr defaultRowHeight="15" x14ac:dyDescent="0.25"/>
  <cols>
    <col min="1" max="1" width="26" bestFit="1" customWidth="1"/>
    <col min="2" max="2" width="11" bestFit="1" customWidth="1"/>
    <col min="3" max="3" width="78" customWidth="1"/>
    <col min="4" max="4" width="39" customWidth="1"/>
    <col min="5" max="5" width="11" customWidth="1"/>
    <col min="6" max="6" width="15" customWidth="1"/>
    <col min="7" max="8" width="10" customWidth="1"/>
  </cols>
  <sheetData>
    <row r="1" spans="1:8" ht="24.95" customHeight="1" x14ac:dyDescent="0.3">
      <c r="A1" s="1" t="s">
        <v>359</v>
      </c>
    </row>
    <row r="3" spans="1:8" x14ac:dyDescent="0.25">
      <c r="A3" s="4" t="s">
        <v>8</v>
      </c>
      <c r="B3" s="5" t="s">
        <v>16</v>
      </c>
    </row>
    <row r="4" spans="1:8" x14ac:dyDescent="0.25">
      <c r="A4" s="4" t="s">
        <v>39</v>
      </c>
      <c r="B4" s="5" t="s">
        <v>17</v>
      </c>
    </row>
    <row r="5" spans="1:8" x14ac:dyDescent="0.25">
      <c r="A5" s="4" t="s">
        <v>282</v>
      </c>
      <c r="B5" s="5" t="s">
        <v>18</v>
      </c>
    </row>
    <row r="6" spans="1:8" x14ac:dyDescent="0.25">
      <c r="A6" s="4" t="s">
        <v>283</v>
      </c>
      <c r="B6" s="21" t="s">
        <v>284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84</v>
      </c>
      <c r="B10" s="7" t="s">
        <v>85</v>
      </c>
      <c r="C10" s="5" t="s">
        <v>86</v>
      </c>
      <c r="D10" s="5" t="s">
        <v>87</v>
      </c>
      <c r="E10" s="7" t="s">
        <v>88</v>
      </c>
      <c r="F10" s="7" t="s">
        <v>67</v>
      </c>
      <c r="G10" s="8">
        <v>3</v>
      </c>
      <c r="H10" s="9" t="s">
        <v>89</v>
      </c>
    </row>
    <row r="11" spans="1:8" x14ac:dyDescent="0.25">
      <c r="A11" s="7" t="s">
        <v>90</v>
      </c>
      <c r="B11" s="7" t="s">
        <v>91</v>
      </c>
      <c r="C11" s="5" t="s">
        <v>92</v>
      </c>
      <c r="D11" s="5" t="s">
        <v>93</v>
      </c>
      <c r="E11" s="7" t="s">
        <v>94</v>
      </c>
      <c r="F11" s="7" t="s">
        <v>67</v>
      </c>
      <c r="G11" s="8">
        <v>5</v>
      </c>
      <c r="H11" s="9" t="s">
        <v>89</v>
      </c>
    </row>
    <row r="12" spans="1:8" x14ac:dyDescent="0.25">
      <c r="A12" s="7" t="s">
        <v>95</v>
      </c>
      <c r="B12" s="7" t="s">
        <v>91</v>
      </c>
      <c r="C12" s="5" t="s">
        <v>96</v>
      </c>
      <c r="D12" s="5" t="s">
        <v>97</v>
      </c>
      <c r="E12" s="7" t="s">
        <v>94</v>
      </c>
      <c r="F12" s="7" t="s">
        <v>69</v>
      </c>
      <c r="G12" s="8">
        <v>3</v>
      </c>
      <c r="H12" s="9" t="s">
        <v>89</v>
      </c>
    </row>
    <row r="13" spans="1:8" x14ac:dyDescent="0.25">
      <c r="A13" s="7" t="s">
        <v>98</v>
      </c>
      <c r="B13" s="7" t="s">
        <v>99</v>
      </c>
      <c r="C13" s="5" t="s">
        <v>100</v>
      </c>
      <c r="D13" s="5" t="s">
        <v>101</v>
      </c>
      <c r="E13" s="7" t="s">
        <v>102</v>
      </c>
      <c r="F13" s="7" t="s">
        <v>67</v>
      </c>
      <c r="G13" s="8">
        <v>3</v>
      </c>
      <c r="H13" s="9" t="s">
        <v>89</v>
      </c>
    </row>
    <row r="14" spans="1:8" x14ac:dyDescent="0.25">
      <c r="A14" s="7" t="s">
        <v>103</v>
      </c>
      <c r="B14" s="7" t="s">
        <v>104</v>
      </c>
      <c r="C14" s="5" t="s">
        <v>105</v>
      </c>
      <c r="D14" s="5" t="s">
        <v>106</v>
      </c>
      <c r="E14" s="7" t="s">
        <v>88</v>
      </c>
      <c r="F14" s="7" t="s">
        <v>67</v>
      </c>
      <c r="G14" s="8">
        <v>2</v>
      </c>
      <c r="H14" s="9" t="s">
        <v>89</v>
      </c>
    </row>
    <row r="17" spans="1:7" ht="15.75" x14ac:dyDescent="0.25">
      <c r="A17" s="3"/>
    </row>
    <row r="18" spans="1:7" ht="18" customHeight="1" x14ac:dyDescent="0.25">
      <c r="A18" s="16"/>
      <c r="B18" s="19"/>
      <c r="C18" s="19"/>
      <c r="D18" s="19"/>
      <c r="E18" s="19"/>
      <c r="F18" s="19"/>
      <c r="G18" s="19"/>
    </row>
    <row r="19" spans="1:7" ht="18" customHeight="1" x14ac:dyDescent="0.25">
      <c r="A19" s="19"/>
      <c r="B19" s="19"/>
      <c r="C19" s="19"/>
      <c r="D19" s="19"/>
      <c r="E19" s="19"/>
      <c r="F19" s="19"/>
      <c r="G19" s="19"/>
    </row>
    <row r="20" spans="1:7" ht="18" customHeight="1" x14ac:dyDescent="0.25">
      <c r="A20" s="19"/>
      <c r="B20" s="19"/>
      <c r="C20" s="19"/>
      <c r="D20" s="19"/>
      <c r="E20" s="19"/>
      <c r="F20" s="19"/>
      <c r="G20" s="19"/>
    </row>
  </sheetData>
  <mergeCells count="1">
    <mergeCell ref="B6:G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workbookViewId="0"/>
  </sheetViews>
  <sheetFormatPr defaultRowHeight="15" x14ac:dyDescent="0.25"/>
  <cols>
    <col min="1" max="1" width="26" bestFit="1" customWidth="1"/>
    <col min="2" max="2" width="11" bestFit="1" customWidth="1"/>
    <col min="3" max="3" width="78.140625" bestFit="1" customWidth="1"/>
    <col min="4" max="4" width="31.85546875" bestFit="1" customWidth="1"/>
    <col min="5" max="5" width="14" customWidth="1"/>
    <col min="6" max="6" width="13" customWidth="1"/>
    <col min="7" max="8" width="10" customWidth="1"/>
  </cols>
  <sheetData>
    <row r="1" spans="1:8" ht="24.95" customHeight="1" x14ac:dyDescent="0.3">
      <c r="A1" s="1" t="s">
        <v>360</v>
      </c>
    </row>
    <row r="3" spans="1:8" x14ac:dyDescent="0.25">
      <c r="A3" s="4" t="s">
        <v>8</v>
      </c>
      <c r="B3" s="5" t="s">
        <v>23</v>
      </c>
    </row>
    <row r="4" spans="1:8" x14ac:dyDescent="0.25">
      <c r="A4" s="4" t="s">
        <v>39</v>
      </c>
      <c r="B4" s="5" t="s">
        <v>24</v>
      </c>
    </row>
    <row r="5" spans="1:8" x14ac:dyDescent="0.25">
      <c r="A5" s="4" t="s">
        <v>282</v>
      </c>
      <c r="B5" s="5" t="s">
        <v>25</v>
      </c>
    </row>
    <row r="6" spans="1:8" x14ac:dyDescent="0.25">
      <c r="A6" s="4" t="s">
        <v>283</v>
      </c>
      <c r="B6" s="21" t="s">
        <v>286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107</v>
      </c>
      <c r="B10" s="7" t="s">
        <v>108</v>
      </c>
      <c r="C10" s="5" t="s">
        <v>109</v>
      </c>
      <c r="D10" s="5" t="s">
        <v>110</v>
      </c>
      <c r="E10" s="7" t="s">
        <v>111</v>
      </c>
      <c r="F10" s="7" t="s">
        <v>67</v>
      </c>
      <c r="G10" s="8">
        <v>5</v>
      </c>
      <c r="H10" s="9" t="s">
        <v>89</v>
      </c>
    </row>
    <row r="11" spans="1:8" x14ac:dyDescent="0.25">
      <c r="A11" s="7" t="s">
        <v>113</v>
      </c>
      <c r="B11" s="7" t="s">
        <v>108</v>
      </c>
      <c r="C11" s="5" t="s">
        <v>114</v>
      </c>
      <c r="D11" s="5" t="s">
        <v>115</v>
      </c>
      <c r="E11" s="7" t="s">
        <v>102</v>
      </c>
      <c r="F11" s="7" t="s">
        <v>67</v>
      </c>
      <c r="G11" s="8">
        <v>3</v>
      </c>
      <c r="H11" s="9" t="s">
        <v>89</v>
      </c>
    </row>
    <row r="12" spans="1:8" x14ac:dyDescent="0.25">
      <c r="A12" s="7" t="s">
        <v>116</v>
      </c>
      <c r="B12" s="7" t="s">
        <v>108</v>
      </c>
      <c r="C12" s="5" t="s">
        <v>117</v>
      </c>
      <c r="D12" s="5" t="s">
        <v>118</v>
      </c>
      <c r="E12" s="7" t="s">
        <v>111</v>
      </c>
      <c r="F12" s="7" t="s">
        <v>67</v>
      </c>
      <c r="G12" s="8">
        <v>2</v>
      </c>
      <c r="H12" s="9" t="s">
        <v>89</v>
      </c>
    </row>
    <row r="13" spans="1:8" x14ac:dyDescent="0.25">
      <c r="A13" s="7" t="s">
        <v>119</v>
      </c>
      <c r="B13" s="7" t="s">
        <v>120</v>
      </c>
      <c r="C13" s="5" t="s">
        <v>121</v>
      </c>
      <c r="D13" s="5" t="s">
        <v>122</v>
      </c>
      <c r="E13" s="7" t="s">
        <v>120</v>
      </c>
      <c r="F13" s="7" t="s">
        <v>67</v>
      </c>
      <c r="G13" s="8">
        <v>5</v>
      </c>
      <c r="H13" s="9" t="s">
        <v>89</v>
      </c>
    </row>
    <row r="14" spans="1:8" x14ac:dyDescent="0.25">
      <c r="A14" s="7" t="s">
        <v>123</v>
      </c>
      <c r="B14" s="7" t="s">
        <v>120</v>
      </c>
      <c r="C14" s="5" t="s">
        <v>124</v>
      </c>
      <c r="D14" s="5" t="s">
        <v>125</v>
      </c>
      <c r="E14" s="7" t="s">
        <v>120</v>
      </c>
      <c r="F14" s="7" t="s">
        <v>67</v>
      </c>
      <c r="G14" s="8">
        <v>3</v>
      </c>
      <c r="H14" s="9" t="s">
        <v>89</v>
      </c>
    </row>
    <row r="15" spans="1:8" x14ac:dyDescent="0.25">
      <c r="A15" s="7" t="s">
        <v>126</v>
      </c>
      <c r="B15" s="7" t="s">
        <v>127</v>
      </c>
      <c r="C15" s="5" t="s">
        <v>128</v>
      </c>
      <c r="D15" s="5" t="s">
        <v>129</v>
      </c>
      <c r="E15" s="7" t="s">
        <v>120</v>
      </c>
      <c r="F15" s="7" t="s">
        <v>67</v>
      </c>
      <c r="G15" s="8">
        <v>8</v>
      </c>
      <c r="H15" s="9" t="s">
        <v>89</v>
      </c>
    </row>
    <row r="16" spans="1:8" x14ac:dyDescent="0.25">
      <c r="A16" s="7" t="s">
        <v>130</v>
      </c>
      <c r="B16" s="7" t="s">
        <v>127</v>
      </c>
      <c r="C16" s="5" t="s">
        <v>131</v>
      </c>
      <c r="D16" s="5" t="s">
        <v>132</v>
      </c>
      <c r="E16" s="7" t="s">
        <v>102</v>
      </c>
      <c r="F16" s="7" t="s">
        <v>67</v>
      </c>
      <c r="G16" s="8">
        <v>5</v>
      </c>
      <c r="H16" s="9" t="s">
        <v>89</v>
      </c>
    </row>
    <row r="17" spans="1:8" x14ac:dyDescent="0.25">
      <c r="A17" s="7" t="s">
        <v>133</v>
      </c>
      <c r="B17" s="7" t="s">
        <v>127</v>
      </c>
      <c r="C17" s="5" t="s">
        <v>134</v>
      </c>
      <c r="D17" s="5" t="s">
        <v>135</v>
      </c>
      <c r="E17" s="7" t="s">
        <v>120</v>
      </c>
      <c r="F17" s="7" t="s">
        <v>67</v>
      </c>
      <c r="G17" s="8">
        <v>3</v>
      </c>
      <c r="H17" s="9" t="s">
        <v>89</v>
      </c>
    </row>
    <row r="18" spans="1:8" x14ac:dyDescent="0.25">
      <c r="A18" s="7" t="s">
        <v>136</v>
      </c>
      <c r="B18" s="7" t="s">
        <v>120</v>
      </c>
      <c r="C18" s="5" t="s">
        <v>137</v>
      </c>
      <c r="D18" s="5" t="s">
        <v>138</v>
      </c>
      <c r="E18" s="7" t="s">
        <v>120</v>
      </c>
      <c r="F18" s="7" t="s">
        <v>67</v>
      </c>
      <c r="G18" s="8">
        <v>5</v>
      </c>
      <c r="H18" s="9" t="s">
        <v>89</v>
      </c>
    </row>
    <row r="19" spans="1:8" x14ac:dyDescent="0.25">
      <c r="A19" s="7" t="s">
        <v>139</v>
      </c>
      <c r="B19" s="7" t="s">
        <v>120</v>
      </c>
      <c r="C19" s="5" t="s">
        <v>140</v>
      </c>
      <c r="D19" s="5" t="s">
        <v>141</v>
      </c>
      <c r="E19" s="7" t="s">
        <v>120</v>
      </c>
      <c r="F19" s="7" t="s">
        <v>67</v>
      </c>
      <c r="G19" s="8">
        <v>8</v>
      </c>
      <c r="H19" s="9" t="s">
        <v>89</v>
      </c>
    </row>
    <row r="22" spans="1:8" ht="15.75" customHeight="1" x14ac:dyDescent="0.25">
      <c r="A22" s="20"/>
      <c r="B22" s="20"/>
      <c r="C22" s="20"/>
      <c r="D22" s="20"/>
      <c r="E22" s="20"/>
      <c r="F22" s="20"/>
      <c r="G22" s="20"/>
    </row>
    <row r="23" spans="1:8" ht="18" customHeight="1" x14ac:dyDescent="0.25">
      <c r="A23" s="20"/>
      <c r="B23" s="20"/>
      <c r="C23" s="20"/>
      <c r="D23" s="20"/>
      <c r="E23" s="20"/>
      <c r="F23" s="20"/>
      <c r="G23" s="20"/>
    </row>
    <row r="24" spans="1:8" ht="18" customHeight="1" x14ac:dyDescent="0.25">
      <c r="A24" s="20"/>
      <c r="B24" s="20"/>
      <c r="C24" s="20"/>
      <c r="D24" s="20"/>
      <c r="E24" s="20"/>
      <c r="F24" s="20"/>
      <c r="G24" s="20"/>
    </row>
    <row r="25" spans="1:8" ht="18" customHeight="1" x14ac:dyDescent="0.25">
      <c r="A25" s="20"/>
      <c r="B25" s="20"/>
      <c r="C25" s="20"/>
      <c r="D25" s="20"/>
      <c r="E25" s="20"/>
      <c r="F25" s="20"/>
      <c r="G25" s="20"/>
    </row>
  </sheetData>
  <mergeCells count="1">
    <mergeCell ref="B6:G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5"/>
  <sheetViews>
    <sheetView workbookViewId="0"/>
  </sheetViews>
  <sheetFormatPr defaultRowHeight="15" x14ac:dyDescent="0.25"/>
  <cols>
    <col min="1" max="1" width="26" bestFit="1" customWidth="1"/>
    <col min="2" max="2" width="10.42578125" bestFit="1" customWidth="1"/>
    <col min="3" max="3" width="75" bestFit="1" customWidth="1"/>
    <col min="4" max="4" width="36.140625" bestFit="1" customWidth="1"/>
    <col min="5" max="5" width="10" bestFit="1" customWidth="1"/>
    <col min="6" max="6" width="11.28515625" bestFit="1" customWidth="1"/>
    <col min="7" max="7" width="3.85546875" bestFit="1" customWidth="1"/>
    <col min="8" max="8" width="10" customWidth="1"/>
  </cols>
  <sheetData>
    <row r="1" spans="1:8" ht="24.95" customHeight="1" x14ac:dyDescent="0.3">
      <c r="A1" s="1" t="s">
        <v>361</v>
      </c>
    </row>
    <row r="3" spans="1:8" x14ac:dyDescent="0.25">
      <c r="A3" s="4" t="s">
        <v>8</v>
      </c>
      <c r="B3" s="5" t="s">
        <v>23</v>
      </c>
    </row>
    <row r="4" spans="1:8" x14ac:dyDescent="0.25">
      <c r="A4" s="4" t="s">
        <v>39</v>
      </c>
      <c r="B4" s="5" t="s">
        <v>30</v>
      </c>
    </row>
    <row r="5" spans="1:8" x14ac:dyDescent="0.25">
      <c r="A5" s="4" t="s">
        <v>282</v>
      </c>
      <c r="B5" s="5" t="s">
        <v>31</v>
      </c>
    </row>
    <row r="6" spans="1:8" x14ac:dyDescent="0.25">
      <c r="A6" s="4" t="s">
        <v>283</v>
      </c>
      <c r="B6" s="21" t="s">
        <v>287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142</v>
      </c>
      <c r="B10" s="7" t="s">
        <v>143</v>
      </c>
      <c r="C10" s="5" t="s">
        <v>144</v>
      </c>
      <c r="D10" s="5" t="s">
        <v>145</v>
      </c>
      <c r="E10" s="7" t="s">
        <v>143</v>
      </c>
      <c r="F10" s="7" t="s">
        <v>67</v>
      </c>
      <c r="G10" s="8">
        <v>5</v>
      </c>
      <c r="H10" s="9" t="s">
        <v>89</v>
      </c>
    </row>
    <row r="11" spans="1:8" x14ac:dyDescent="0.25">
      <c r="A11" s="7" t="s">
        <v>147</v>
      </c>
      <c r="B11" s="7" t="s">
        <v>143</v>
      </c>
      <c r="C11" s="5" t="s">
        <v>148</v>
      </c>
      <c r="D11" s="5" t="s">
        <v>149</v>
      </c>
      <c r="E11" s="7" t="s">
        <v>143</v>
      </c>
      <c r="F11" s="7" t="s">
        <v>67</v>
      </c>
      <c r="G11" s="8">
        <v>5</v>
      </c>
      <c r="H11" s="9" t="s">
        <v>89</v>
      </c>
    </row>
    <row r="12" spans="1:8" x14ac:dyDescent="0.25">
      <c r="A12" s="7" t="s">
        <v>150</v>
      </c>
      <c r="B12" s="7" t="s">
        <v>143</v>
      </c>
      <c r="C12" s="5" t="s">
        <v>151</v>
      </c>
      <c r="D12" s="5" t="s">
        <v>152</v>
      </c>
      <c r="E12" s="7" t="s">
        <v>143</v>
      </c>
      <c r="F12" s="7" t="s">
        <v>67</v>
      </c>
      <c r="G12" s="8">
        <v>5</v>
      </c>
      <c r="H12" s="9" t="s">
        <v>89</v>
      </c>
    </row>
    <row r="13" spans="1:8" x14ac:dyDescent="0.25">
      <c r="A13" s="7" t="s">
        <v>153</v>
      </c>
      <c r="B13" s="7" t="s">
        <v>143</v>
      </c>
      <c r="C13" s="5" t="s">
        <v>154</v>
      </c>
      <c r="D13" s="5" t="s">
        <v>155</v>
      </c>
      <c r="E13" s="7" t="s">
        <v>143</v>
      </c>
      <c r="F13" s="7" t="s">
        <v>69</v>
      </c>
      <c r="G13" s="8">
        <v>5</v>
      </c>
      <c r="H13" s="9" t="s">
        <v>89</v>
      </c>
    </row>
    <row r="14" spans="1:8" x14ac:dyDescent="0.25">
      <c r="A14" s="7" t="s">
        <v>156</v>
      </c>
      <c r="B14" s="7" t="s">
        <v>143</v>
      </c>
      <c r="C14" s="5" t="s">
        <v>157</v>
      </c>
      <c r="D14" s="5" t="s">
        <v>158</v>
      </c>
      <c r="E14" s="7" t="s">
        <v>143</v>
      </c>
      <c r="F14" s="7" t="s">
        <v>67</v>
      </c>
      <c r="G14" s="8">
        <v>5</v>
      </c>
      <c r="H14" s="9" t="s">
        <v>89</v>
      </c>
    </row>
    <row r="15" spans="1:8" x14ac:dyDescent="0.25">
      <c r="A15" s="7" t="s">
        <v>159</v>
      </c>
      <c r="B15" s="7" t="s">
        <v>160</v>
      </c>
      <c r="C15" s="5" t="s">
        <v>161</v>
      </c>
      <c r="D15" s="5" t="s">
        <v>162</v>
      </c>
      <c r="E15" s="7" t="s">
        <v>160</v>
      </c>
      <c r="F15" s="7" t="s">
        <v>67</v>
      </c>
      <c r="G15" s="8">
        <v>5</v>
      </c>
      <c r="H15" s="9" t="s">
        <v>89</v>
      </c>
    </row>
    <row r="16" spans="1:8" x14ac:dyDescent="0.25">
      <c r="A16" s="7" t="s">
        <v>163</v>
      </c>
      <c r="B16" s="7" t="s">
        <v>164</v>
      </c>
      <c r="C16" s="5" t="s">
        <v>165</v>
      </c>
      <c r="D16" s="5" t="s">
        <v>166</v>
      </c>
      <c r="E16" s="7" t="s">
        <v>164</v>
      </c>
      <c r="F16" s="7" t="s">
        <v>67</v>
      </c>
      <c r="G16" s="8">
        <v>5</v>
      </c>
      <c r="H16" s="9" t="s">
        <v>89</v>
      </c>
    </row>
    <row r="17" spans="1:8" x14ac:dyDescent="0.25">
      <c r="A17" s="7" t="s">
        <v>167</v>
      </c>
      <c r="B17" s="7" t="s">
        <v>164</v>
      </c>
      <c r="C17" s="5" t="s">
        <v>168</v>
      </c>
      <c r="D17" s="5" t="s">
        <v>169</v>
      </c>
      <c r="E17" s="7" t="s">
        <v>164</v>
      </c>
      <c r="F17" s="7" t="s">
        <v>67</v>
      </c>
      <c r="G17" s="8">
        <v>5</v>
      </c>
      <c r="H17" s="9" t="s">
        <v>89</v>
      </c>
    </row>
    <row r="18" spans="1:8" x14ac:dyDescent="0.25">
      <c r="A18" s="7" t="s">
        <v>170</v>
      </c>
      <c r="B18" s="7" t="s">
        <v>120</v>
      </c>
      <c r="C18" s="5" t="s">
        <v>171</v>
      </c>
      <c r="D18" s="5" t="s">
        <v>172</v>
      </c>
      <c r="E18" s="7" t="s">
        <v>120</v>
      </c>
      <c r="F18" s="7" t="s">
        <v>67</v>
      </c>
      <c r="G18" s="8">
        <v>3</v>
      </c>
      <c r="H18" s="9" t="s">
        <v>89</v>
      </c>
    </row>
    <row r="19" spans="1:8" x14ac:dyDescent="0.25">
      <c r="A19" s="7" t="s">
        <v>173</v>
      </c>
      <c r="B19" s="7" t="s">
        <v>120</v>
      </c>
      <c r="C19" s="5" t="s">
        <v>174</v>
      </c>
      <c r="D19" s="5" t="s">
        <v>175</v>
      </c>
      <c r="E19" s="7" t="s">
        <v>120</v>
      </c>
      <c r="F19" s="7" t="s">
        <v>67</v>
      </c>
      <c r="G19" s="8">
        <v>5</v>
      </c>
      <c r="H19" s="9" t="s">
        <v>89</v>
      </c>
    </row>
    <row r="22" spans="1:8" ht="15.75" x14ac:dyDescent="0.25">
      <c r="A22" s="3"/>
      <c r="B22" s="17"/>
      <c r="C22" s="17"/>
      <c r="D22" s="17"/>
      <c r="E22" s="17"/>
      <c r="F22" s="17"/>
      <c r="G22" s="17"/>
    </row>
    <row r="23" spans="1:8" ht="18" customHeight="1" x14ac:dyDescent="0.25">
      <c r="A23" s="16"/>
      <c r="B23" s="19"/>
      <c r="C23" s="19"/>
      <c r="D23" s="19"/>
      <c r="E23" s="19"/>
      <c r="F23" s="19"/>
      <c r="G23" s="19"/>
    </row>
    <row r="24" spans="1:8" ht="18" customHeight="1" x14ac:dyDescent="0.25">
      <c r="A24" s="19"/>
      <c r="B24" s="19"/>
      <c r="C24" s="19"/>
      <c r="D24" s="19"/>
      <c r="E24" s="19"/>
      <c r="F24" s="19"/>
      <c r="G24" s="19"/>
    </row>
    <row r="25" spans="1:8" ht="18" customHeight="1" x14ac:dyDescent="0.25">
      <c r="A25" s="19"/>
      <c r="B25" s="19"/>
      <c r="C25" s="19"/>
      <c r="D25" s="19"/>
      <c r="E25" s="19"/>
      <c r="F25" s="19"/>
      <c r="G25" s="19"/>
    </row>
  </sheetData>
  <mergeCells count="1">
    <mergeCell ref="B6:G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3"/>
  <sheetViews>
    <sheetView workbookViewId="0"/>
  </sheetViews>
  <sheetFormatPr defaultRowHeight="15" x14ac:dyDescent="0.25"/>
  <cols>
    <col min="1" max="1" width="26" bestFit="1" customWidth="1"/>
    <col min="2" max="2" width="11.42578125" bestFit="1" customWidth="1"/>
    <col min="3" max="3" width="78.28515625" bestFit="1" customWidth="1"/>
    <col min="4" max="4" width="32.42578125" bestFit="1" customWidth="1"/>
    <col min="5" max="5" width="10" bestFit="1" customWidth="1"/>
    <col min="6" max="6" width="11.28515625" bestFit="1" customWidth="1"/>
    <col min="7" max="7" width="3.85546875" bestFit="1" customWidth="1"/>
    <col min="8" max="8" width="10" customWidth="1"/>
  </cols>
  <sheetData>
    <row r="1" spans="1:8" ht="24.95" customHeight="1" x14ac:dyDescent="0.3">
      <c r="A1" s="1" t="s">
        <v>362</v>
      </c>
    </row>
    <row r="3" spans="1:8" x14ac:dyDescent="0.25">
      <c r="A3" s="4" t="s">
        <v>8</v>
      </c>
      <c r="B3" s="5" t="s">
        <v>36</v>
      </c>
    </row>
    <row r="4" spans="1:8" x14ac:dyDescent="0.25">
      <c r="A4" s="4" t="s">
        <v>39</v>
      </c>
      <c r="B4" s="5" t="s">
        <v>37</v>
      </c>
    </row>
    <row r="5" spans="1:8" x14ac:dyDescent="0.25">
      <c r="A5" s="4" t="s">
        <v>282</v>
      </c>
      <c r="B5" s="5" t="s">
        <v>38</v>
      </c>
    </row>
    <row r="6" spans="1:8" x14ac:dyDescent="0.25">
      <c r="A6" s="4" t="s">
        <v>283</v>
      </c>
      <c r="B6" s="21" t="s">
        <v>288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176</v>
      </c>
      <c r="B10" s="7" t="s">
        <v>177</v>
      </c>
      <c r="C10" s="5" t="s">
        <v>178</v>
      </c>
      <c r="D10" s="5" t="s">
        <v>179</v>
      </c>
      <c r="E10" s="7" t="s">
        <v>164</v>
      </c>
      <c r="F10" s="7" t="s">
        <v>67</v>
      </c>
      <c r="G10" s="8">
        <v>8</v>
      </c>
      <c r="H10" s="10" t="s">
        <v>181</v>
      </c>
    </row>
    <row r="11" spans="1:8" x14ac:dyDescent="0.25">
      <c r="A11" s="7" t="s">
        <v>182</v>
      </c>
      <c r="B11" s="7" t="s">
        <v>177</v>
      </c>
      <c r="C11" s="5" t="s">
        <v>183</v>
      </c>
      <c r="D11" s="5" t="s">
        <v>184</v>
      </c>
      <c r="E11" s="7" t="s">
        <v>164</v>
      </c>
      <c r="F11" s="7" t="s">
        <v>67</v>
      </c>
      <c r="G11" s="8">
        <v>8</v>
      </c>
      <c r="H11" s="10" t="s">
        <v>181</v>
      </c>
    </row>
    <row r="12" spans="1:8" x14ac:dyDescent="0.25">
      <c r="A12" s="7" t="s">
        <v>185</v>
      </c>
      <c r="B12" s="7" t="s">
        <v>186</v>
      </c>
      <c r="C12" s="5" t="s">
        <v>187</v>
      </c>
      <c r="D12" s="5" t="s">
        <v>188</v>
      </c>
      <c r="E12" s="7" t="s">
        <v>164</v>
      </c>
      <c r="F12" s="7" t="s">
        <v>69</v>
      </c>
      <c r="G12" s="8">
        <v>8</v>
      </c>
      <c r="H12" s="10" t="s">
        <v>181</v>
      </c>
    </row>
    <row r="13" spans="1:8" x14ac:dyDescent="0.25">
      <c r="A13" s="7" t="s">
        <v>189</v>
      </c>
      <c r="B13" s="7" t="s">
        <v>186</v>
      </c>
      <c r="C13" s="5" t="s">
        <v>190</v>
      </c>
      <c r="D13" s="5" t="s">
        <v>191</v>
      </c>
      <c r="E13" s="7" t="s">
        <v>164</v>
      </c>
      <c r="F13" s="7" t="s">
        <v>69</v>
      </c>
      <c r="G13" s="8">
        <v>8</v>
      </c>
      <c r="H13" s="10" t="s">
        <v>181</v>
      </c>
    </row>
    <row r="14" spans="1:8" x14ac:dyDescent="0.25">
      <c r="A14" s="7" t="s">
        <v>192</v>
      </c>
      <c r="B14" s="7" t="s">
        <v>186</v>
      </c>
      <c r="C14" s="5" t="s">
        <v>193</v>
      </c>
      <c r="D14" s="5" t="s">
        <v>194</v>
      </c>
      <c r="E14" s="7" t="s">
        <v>164</v>
      </c>
      <c r="F14" s="7" t="s">
        <v>69</v>
      </c>
      <c r="G14" s="8">
        <v>5</v>
      </c>
      <c r="H14" s="10" t="s">
        <v>181</v>
      </c>
    </row>
    <row r="15" spans="1:8" x14ac:dyDescent="0.25">
      <c r="A15" s="7" t="s">
        <v>195</v>
      </c>
      <c r="B15" s="7" t="s">
        <v>186</v>
      </c>
      <c r="C15" s="5" t="s">
        <v>196</v>
      </c>
      <c r="D15" s="5" t="s">
        <v>197</v>
      </c>
      <c r="E15" s="7" t="s">
        <v>160</v>
      </c>
      <c r="F15" s="7" t="s">
        <v>67</v>
      </c>
      <c r="G15" s="8">
        <v>5</v>
      </c>
      <c r="H15" s="10" t="s">
        <v>181</v>
      </c>
    </row>
    <row r="16" spans="1:8" x14ac:dyDescent="0.25">
      <c r="A16" s="7" t="s">
        <v>198</v>
      </c>
      <c r="B16" s="7" t="s">
        <v>199</v>
      </c>
      <c r="C16" s="5" t="s">
        <v>200</v>
      </c>
      <c r="D16" s="5" t="s">
        <v>201</v>
      </c>
      <c r="E16" s="7" t="s">
        <v>164</v>
      </c>
      <c r="F16" s="7" t="s">
        <v>69</v>
      </c>
      <c r="G16" s="8">
        <v>8</v>
      </c>
      <c r="H16" s="10" t="s">
        <v>181</v>
      </c>
    </row>
    <row r="17" spans="1:8" x14ac:dyDescent="0.25">
      <c r="A17" s="7" t="s">
        <v>202</v>
      </c>
      <c r="B17" s="7" t="s">
        <v>203</v>
      </c>
      <c r="C17" s="5" t="s">
        <v>204</v>
      </c>
      <c r="D17" s="5" t="s">
        <v>205</v>
      </c>
      <c r="E17" s="7" t="s">
        <v>164</v>
      </c>
      <c r="F17" s="7" t="s">
        <v>69</v>
      </c>
      <c r="G17" s="8">
        <v>5</v>
      </c>
      <c r="H17" s="10" t="s">
        <v>181</v>
      </c>
    </row>
    <row r="20" spans="1:8" ht="15.75" x14ac:dyDescent="0.25">
      <c r="A20" s="3"/>
      <c r="B20" s="17"/>
      <c r="C20" s="17"/>
      <c r="D20" s="17"/>
      <c r="E20" s="17"/>
      <c r="F20" s="17"/>
      <c r="G20" s="17"/>
    </row>
    <row r="21" spans="1:8" ht="18" customHeight="1" x14ac:dyDescent="0.25">
      <c r="A21" s="16"/>
      <c r="B21" s="19"/>
      <c r="C21" s="19"/>
      <c r="D21" s="19"/>
      <c r="E21" s="19"/>
      <c r="F21" s="19"/>
      <c r="G21" s="19"/>
    </row>
    <row r="22" spans="1:8" ht="18" customHeight="1" x14ac:dyDescent="0.25">
      <c r="A22" s="19"/>
      <c r="B22" s="19"/>
      <c r="C22" s="19"/>
      <c r="D22" s="19"/>
      <c r="E22" s="19"/>
      <c r="F22" s="19"/>
      <c r="G22" s="19"/>
    </row>
    <row r="23" spans="1:8" ht="18" customHeight="1" x14ac:dyDescent="0.25">
      <c r="A23" s="19"/>
      <c r="B23" s="19"/>
      <c r="C23" s="19"/>
      <c r="D23" s="19"/>
      <c r="E23" s="19"/>
      <c r="F23" s="19"/>
      <c r="G23" s="19"/>
    </row>
  </sheetData>
  <mergeCells count="1">
    <mergeCell ref="B6:G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2"/>
  <sheetViews>
    <sheetView workbookViewId="0"/>
  </sheetViews>
  <sheetFormatPr defaultRowHeight="15" x14ac:dyDescent="0.25"/>
  <cols>
    <col min="1" max="1" width="26" bestFit="1" customWidth="1"/>
    <col min="2" max="2" width="11.42578125" bestFit="1" customWidth="1"/>
    <col min="3" max="3" width="77.5703125" bestFit="1" customWidth="1"/>
    <col min="4" max="4" width="36.28515625" bestFit="1" customWidth="1"/>
    <col min="5" max="5" width="8.28515625" bestFit="1" customWidth="1"/>
    <col min="6" max="6" width="11.28515625" bestFit="1" customWidth="1"/>
    <col min="7" max="7" width="3.85546875" bestFit="1" customWidth="1"/>
    <col min="8" max="8" width="10" customWidth="1"/>
  </cols>
  <sheetData>
    <row r="1" spans="1:8" ht="24.95" customHeight="1" x14ac:dyDescent="0.3">
      <c r="A1" s="1" t="s">
        <v>363</v>
      </c>
    </row>
    <row r="3" spans="1:8" x14ac:dyDescent="0.25">
      <c r="A3" s="4" t="s">
        <v>8</v>
      </c>
      <c r="B3" s="5" t="s">
        <v>42</v>
      </c>
    </row>
    <row r="4" spans="1:8" x14ac:dyDescent="0.25">
      <c r="A4" s="4" t="s">
        <v>39</v>
      </c>
      <c r="B4" s="5" t="s">
        <v>43</v>
      </c>
    </row>
    <row r="5" spans="1:8" x14ac:dyDescent="0.25">
      <c r="A5" s="4" t="s">
        <v>282</v>
      </c>
      <c r="B5" s="5" t="s">
        <v>44</v>
      </c>
    </row>
    <row r="6" spans="1:8" x14ac:dyDescent="0.25">
      <c r="A6" s="4" t="s">
        <v>283</v>
      </c>
      <c r="B6" s="21" t="s">
        <v>289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206</v>
      </c>
      <c r="B10" s="7" t="s">
        <v>207</v>
      </c>
      <c r="C10" s="5" t="s">
        <v>208</v>
      </c>
      <c r="D10" s="5" t="s">
        <v>209</v>
      </c>
      <c r="E10" s="7" t="s">
        <v>164</v>
      </c>
      <c r="F10" s="7" t="s">
        <v>67</v>
      </c>
      <c r="G10" s="8">
        <v>5</v>
      </c>
      <c r="H10" s="10" t="s">
        <v>181</v>
      </c>
    </row>
    <row r="11" spans="1:8" x14ac:dyDescent="0.25">
      <c r="A11" s="7" t="s">
        <v>211</v>
      </c>
      <c r="B11" s="7" t="s">
        <v>212</v>
      </c>
      <c r="C11" s="5" t="s">
        <v>213</v>
      </c>
      <c r="D11" s="5" t="s">
        <v>214</v>
      </c>
      <c r="E11" s="7" t="s">
        <v>143</v>
      </c>
      <c r="F11" s="7" t="s">
        <v>69</v>
      </c>
      <c r="G11" s="8">
        <v>8</v>
      </c>
      <c r="H11" s="10" t="s">
        <v>181</v>
      </c>
    </row>
    <row r="12" spans="1:8" x14ac:dyDescent="0.25">
      <c r="A12" s="7" t="s">
        <v>215</v>
      </c>
      <c r="B12" s="7" t="s">
        <v>212</v>
      </c>
      <c r="C12" s="5" t="s">
        <v>216</v>
      </c>
      <c r="D12" s="5" t="s">
        <v>217</v>
      </c>
      <c r="E12" s="7" t="s">
        <v>143</v>
      </c>
      <c r="F12" s="7" t="s">
        <v>69</v>
      </c>
      <c r="G12" s="8">
        <v>5</v>
      </c>
      <c r="H12" s="10" t="s">
        <v>181</v>
      </c>
    </row>
    <row r="13" spans="1:8" x14ac:dyDescent="0.25">
      <c r="A13" s="7" t="s">
        <v>218</v>
      </c>
      <c r="B13" s="7" t="s">
        <v>212</v>
      </c>
      <c r="C13" s="5" t="s">
        <v>219</v>
      </c>
      <c r="D13" s="5" t="s">
        <v>220</v>
      </c>
      <c r="E13" s="7" t="s">
        <v>120</v>
      </c>
      <c r="F13" s="7" t="s">
        <v>69</v>
      </c>
      <c r="G13" s="8">
        <v>5</v>
      </c>
      <c r="H13" s="10" t="s">
        <v>181</v>
      </c>
    </row>
    <row r="14" spans="1:8" x14ac:dyDescent="0.25">
      <c r="A14" s="7" t="s">
        <v>221</v>
      </c>
      <c r="B14" s="7" t="s">
        <v>222</v>
      </c>
      <c r="C14" s="5" t="s">
        <v>223</v>
      </c>
      <c r="D14" s="5" t="s">
        <v>224</v>
      </c>
      <c r="E14" s="7" t="s">
        <v>164</v>
      </c>
      <c r="F14" s="7" t="s">
        <v>67</v>
      </c>
      <c r="G14" s="8">
        <v>8</v>
      </c>
      <c r="H14" s="10" t="s">
        <v>181</v>
      </c>
    </row>
    <row r="15" spans="1:8" x14ac:dyDescent="0.25">
      <c r="A15" s="7" t="s">
        <v>225</v>
      </c>
      <c r="B15" s="7" t="s">
        <v>222</v>
      </c>
      <c r="C15" s="5" t="s">
        <v>226</v>
      </c>
      <c r="D15" s="5" t="s">
        <v>227</v>
      </c>
      <c r="E15" s="7" t="s">
        <v>164</v>
      </c>
      <c r="F15" s="7" t="s">
        <v>67</v>
      </c>
      <c r="G15" s="8">
        <v>5</v>
      </c>
      <c r="H15" s="10" t="s">
        <v>181</v>
      </c>
    </row>
    <row r="16" spans="1:8" x14ac:dyDescent="0.25">
      <c r="A16" s="7" t="s">
        <v>228</v>
      </c>
      <c r="B16" s="7" t="s">
        <v>229</v>
      </c>
      <c r="C16" s="5" t="s">
        <v>230</v>
      </c>
      <c r="D16" s="5" t="s">
        <v>231</v>
      </c>
      <c r="E16" s="7" t="s">
        <v>102</v>
      </c>
      <c r="F16" s="7" t="s">
        <v>69</v>
      </c>
      <c r="G16" s="8">
        <v>8</v>
      </c>
      <c r="H16" s="10" t="s">
        <v>181</v>
      </c>
    </row>
    <row r="19" spans="1:7" ht="15.75" x14ac:dyDescent="0.25">
      <c r="A19" s="3"/>
      <c r="B19" s="17"/>
      <c r="C19" s="17"/>
      <c r="D19" s="17"/>
      <c r="E19" s="17"/>
      <c r="F19" s="17"/>
      <c r="G19" s="17"/>
    </row>
    <row r="20" spans="1:7" ht="18" customHeight="1" x14ac:dyDescent="0.25">
      <c r="A20" s="16"/>
      <c r="B20" s="19"/>
      <c r="C20" s="19"/>
      <c r="D20" s="19"/>
      <c r="E20" s="19"/>
      <c r="F20" s="19"/>
      <c r="G20" s="19"/>
    </row>
    <row r="21" spans="1:7" ht="18" customHeight="1" x14ac:dyDescent="0.25">
      <c r="A21" s="19"/>
      <c r="B21" s="19"/>
      <c r="C21" s="19"/>
      <c r="D21" s="19"/>
      <c r="E21" s="19"/>
      <c r="F21" s="19"/>
      <c r="G21" s="19"/>
    </row>
    <row r="22" spans="1:7" ht="18" customHeight="1" x14ac:dyDescent="0.25">
      <c r="A22" s="19"/>
      <c r="B22" s="19"/>
      <c r="C22" s="19"/>
      <c r="D22" s="19"/>
      <c r="E22" s="19"/>
      <c r="F22" s="19"/>
      <c r="G22" s="19"/>
    </row>
  </sheetData>
  <mergeCells count="1">
    <mergeCell ref="B6:G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2"/>
  <sheetViews>
    <sheetView tabSelected="1" workbookViewId="0"/>
  </sheetViews>
  <sheetFormatPr defaultRowHeight="15" x14ac:dyDescent="0.25"/>
  <cols>
    <col min="1" max="1" width="26" bestFit="1" customWidth="1"/>
    <col min="2" max="2" width="11.42578125" bestFit="1" customWidth="1"/>
    <col min="3" max="3" width="79.42578125" bestFit="1" customWidth="1"/>
    <col min="4" max="4" width="41.85546875" bestFit="1" customWidth="1"/>
    <col min="5" max="5" width="11.140625" bestFit="1" customWidth="1"/>
    <col min="6" max="6" width="11.28515625" bestFit="1" customWidth="1"/>
    <col min="7" max="7" width="3.85546875" bestFit="1" customWidth="1"/>
    <col min="8" max="8" width="10" customWidth="1"/>
  </cols>
  <sheetData>
    <row r="1" spans="1:8" ht="24.95" customHeight="1" x14ac:dyDescent="0.3">
      <c r="A1" s="1" t="s">
        <v>364</v>
      </c>
    </row>
    <row r="3" spans="1:8" x14ac:dyDescent="0.25">
      <c r="A3" s="4" t="s">
        <v>8</v>
      </c>
      <c r="B3" s="5" t="s">
        <v>49</v>
      </c>
    </row>
    <row r="4" spans="1:8" x14ac:dyDescent="0.25">
      <c r="A4" s="4" t="s">
        <v>39</v>
      </c>
      <c r="B4" s="5" t="s">
        <v>50</v>
      </c>
    </row>
    <row r="5" spans="1:8" x14ac:dyDescent="0.25">
      <c r="A5" s="4" t="s">
        <v>282</v>
      </c>
      <c r="B5" s="5" t="s">
        <v>51</v>
      </c>
    </row>
    <row r="6" spans="1:8" x14ac:dyDescent="0.25">
      <c r="A6" s="4" t="s">
        <v>283</v>
      </c>
      <c r="B6" s="21" t="s">
        <v>290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232</v>
      </c>
      <c r="B10" s="7" t="s">
        <v>233</v>
      </c>
      <c r="C10" s="5" t="s">
        <v>234</v>
      </c>
      <c r="D10" s="5" t="s">
        <v>235</v>
      </c>
      <c r="E10" s="7" t="s">
        <v>120</v>
      </c>
      <c r="F10" s="7" t="s">
        <v>71</v>
      </c>
      <c r="G10" s="8">
        <v>13</v>
      </c>
      <c r="H10" s="10" t="s">
        <v>181</v>
      </c>
    </row>
    <row r="11" spans="1:8" x14ac:dyDescent="0.25">
      <c r="A11" s="7" t="s">
        <v>237</v>
      </c>
      <c r="B11" s="7" t="s">
        <v>233</v>
      </c>
      <c r="C11" s="5" t="s">
        <v>238</v>
      </c>
      <c r="D11" s="5" t="s">
        <v>239</v>
      </c>
      <c r="E11" s="7" t="s">
        <v>102</v>
      </c>
      <c r="F11" s="7" t="s">
        <v>71</v>
      </c>
      <c r="G11" s="8">
        <v>8</v>
      </c>
      <c r="H11" s="10" t="s">
        <v>181</v>
      </c>
    </row>
    <row r="12" spans="1:8" x14ac:dyDescent="0.25">
      <c r="A12" s="7" t="s">
        <v>240</v>
      </c>
      <c r="B12" s="7" t="s">
        <v>241</v>
      </c>
      <c r="C12" s="5" t="s">
        <v>242</v>
      </c>
      <c r="D12" s="5" t="s">
        <v>243</v>
      </c>
      <c r="E12" s="7" t="s">
        <v>120</v>
      </c>
      <c r="F12" s="7" t="s">
        <v>71</v>
      </c>
      <c r="G12" s="8">
        <v>8</v>
      </c>
      <c r="H12" s="10" t="s">
        <v>181</v>
      </c>
    </row>
    <row r="13" spans="1:8" x14ac:dyDescent="0.25">
      <c r="A13" s="7" t="s">
        <v>244</v>
      </c>
      <c r="B13" s="7" t="s">
        <v>94</v>
      </c>
      <c r="C13" s="5" t="s">
        <v>245</v>
      </c>
      <c r="D13" s="5" t="s">
        <v>246</v>
      </c>
      <c r="E13" s="7" t="s">
        <v>111</v>
      </c>
      <c r="F13" s="7" t="s">
        <v>71</v>
      </c>
      <c r="G13" s="8">
        <v>5</v>
      </c>
      <c r="H13" s="10" t="s">
        <v>181</v>
      </c>
    </row>
    <row r="14" spans="1:8" x14ac:dyDescent="0.25">
      <c r="A14" s="7" t="s">
        <v>247</v>
      </c>
      <c r="B14" s="7" t="s">
        <v>248</v>
      </c>
      <c r="C14" s="5" t="s">
        <v>249</v>
      </c>
      <c r="D14" s="5" t="s">
        <v>250</v>
      </c>
      <c r="E14" s="7" t="s">
        <v>120</v>
      </c>
      <c r="F14" s="7" t="s">
        <v>71</v>
      </c>
      <c r="G14" s="8">
        <v>8</v>
      </c>
      <c r="H14" s="10" t="s">
        <v>181</v>
      </c>
    </row>
    <row r="15" spans="1:8" x14ac:dyDescent="0.25">
      <c r="A15" s="7" t="s">
        <v>251</v>
      </c>
      <c r="B15" s="7" t="s">
        <v>252</v>
      </c>
      <c r="C15" s="5" t="s">
        <v>253</v>
      </c>
      <c r="D15" s="5" t="s">
        <v>254</v>
      </c>
      <c r="E15" s="7" t="s">
        <v>102</v>
      </c>
      <c r="F15" s="7" t="s">
        <v>69</v>
      </c>
      <c r="G15" s="8">
        <v>5</v>
      </c>
      <c r="H15" s="10" t="s">
        <v>181</v>
      </c>
    </row>
    <row r="16" spans="1:8" x14ac:dyDescent="0.25">
      <c r="A16" s="7" t="s">
        <v>255</v>
      </c>
      <c r="B16" s="7" t="s">
        <v>256</v>
      </c>
      <c r="C16" s="5" t="s">
        <v>257</v>
      </c>
      <c r="D16" s="5" t="s">
        <v>258</v>
      </c>
      <c r="E16" s="7" t="s">
        <v>102</v>
      </c>
      <c r="F16" s="7" t="s">
        <v>69</v>
      </c>
      <c r="G16" s="8">
        <v>5</v>
      </c>
      <c r="H16" s="10" t="s">
        <v>181</v>
      </c>
    </row>
    <row r="19" spans="1:7" ht="15.75" x14ac:dyDescent="0.25">
      <c r="A19" s="3"/>
      <c r="B19" s="17"/>
      <c r="C19" s="17"/>
      <c r="D19" s="17"/>
      <c r="E19" s="17"/>
      <c r="F19" s="17"/>
      <c r="G19" s="17"/>
    </row>
    <row r="20" spans="1:7" ht="18" customHeight="1" x14ac:dyDescent="0.25">
      <c r="A20" s="16"/>
      <c r="B20" s="19"/>
      <c r="C20" s="19"/>
      <c r="D20" s="19"/>
      <c r="E20" s="19"/>
      <c r="F20" s="19"/>
      <c r="G20" s="19"/>
    </row>
    <row r="21" spans="1:7" ht="18" customHeight="1" x14ac:dyDescent="0.25">
      <c r="A21" s="19"/>
      <c r="B21" s="19"/>
      <c r="C21" s="19"/>
      <c r="D21" s="19"/>
      <c r="E21" s="19"/>
      <c r="F21" s="19"/>
      <c r="G21" s="19"/>
    </row>
    <row r="22" spans="1:7" ht="18" customHeight="1" x14ac:dyDescent="0.25">
      <c r="A22" s="19"/>
      <c r="B22" s="19"/>
      <c r="C22" s="19"/>
      <c r="D22" s="19"/>
      <c r="E22" s="19"/>
      <c r="F22" s="19"/>
      <c r="G22" s="19"/>
    </row>
  </sheetData>
  <mergeCells count="1">
    <mergeCell ref="B6:G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0"/>
  <sheetViews>
    <sheetView workbookViewId="0"/>
  </sheetViews>
  <sheetFormatPr defaultRowHeight="15" x14ac:dyDescent="0.25"/>
  <cols>
    <col min="1" max="1" width="26" bestFit="1" customWidth="1"/>
    <col min="2" max="2" width="11.140625" bestFit="1" customWidth="1"/>
    <col min="3" max="3" width="63.28515625" bestFit="1" customWidth="1"/>
    <col min="4" max="4" width="36.140625" bestFit="1" customWidth="1"/>
    <col min="5" max="5" width="12.7109375" bestFit="1" customWidth="1"/>
    <col min="6" max="6" width="11.28515625" bestFit="1" customWidth="1"/>
    <col min="7" max="7" width="3.85546875" bestFit="1" customWidth="1"/>
    <col min="8" max="8" width="10" customWidth="1"/>
  </cols>
  <sheetData>
    <row r="1" spans="1:8" ht="24.95" customHeight="1" x14ac:dyDescent="0.3">
      <c r="A1" s="1" t="s">
        <v>365</v>
      </c>
    </row>
    <row r="3" spans="1:8" x14ac:dyDescent="0.25">
      <c r="A3" s="4" t="s">
        <v>8</v>
      </c>
      <c r="B3" s="5" t="s">
        <v>56</v>
      </c>
    </row>
    <row r="4" spans="1:8" x14ac:dyDescent="0.25">
      <c r="A4" s="4" t="s">
        <v>39</v>
      </c>
      <c r="B4" s="5" t="s">
        <v>57</v>
      </c>
    </row>
    <row r="5" spans="1:8" x14ac:dyDescent="0.25">
      <c r="A5" s="4" t="s">
        <v>282</v>
      </c>
      <c r="B5" s="5" t="s">
        <v>46</v>
      </c>
    </row>
    <row r="6" spans="1:8" x14ac:dyDescent="0.25">
      <c r="A6" s="4" t="s">
        <v>283</v>
      </c>
      <c r="B6" s="21" t="s">
        <v>291</v>
      </c>
      <c r="C6" s="22"/>
      <c r="D6" s="22"/>
      <c r="E6" s="22"/>
      <c r="F6" s="22"/>
      <c r="G6" s="23"/>
    </row>
    <row r="8" spans="1:8" ht="15.75" x14ac:dyDescent="0.25">
      <c r="A8" s="3" t="s">
        <v>285</v>
      </c>
    </row>
    <row r="9" spans="1:8" x14ac:dyDescent="0.25">
      <c r="A9" s="6" t="s">
        <v>76</v>
      </c>
      <c r="B9" s="6" t="s">
        <v>77</v>
      </c>
      <c r="C9" s="6" t="s">
        <v>78</v>
      </c>
      <c r="D9" s="6" t="s">
        <v>79</v>
      </c>
      <c r="E9" s="6" t="s">
        <v>80</v>
      </c>
      <c r="F9" s="6" t="s">
        <v>81</v>
      </c>
      <c r="G9" s="6" t="s">
        <v>82</v>
      </c>
      <c r="H9" s="6" t="s">
        <v>83</v>
      </c>
    </row>
    <row r="10" spans="1:8" x14ac:dyDescent="0.25">
      <c r="A10" s="7" t="s">
        <v>259</v>
      </c>
      <c r="B10" s="7" t="s">
        <v>260</v>
      </c>
      <c r="C10" s="5" t="s">
        <v>261</v>
      </c>
      <c r="D10" s="5" t="s">
        <v>262</v>
      </c>
      <c r="E10" s="7" t="s">
        <v>263</v>
      </c>
      <c r="F10" s="7" t="s">
        <v>67</v>
      </c>
      <c r="G10" s="8">
        <v>8</v>
      </c>
      <c r="H10" s="10" t="s">
        <v>181</v>
      </c>
    </row>
    <row r="11" spans="1:8" x14ac:dyDescent="0.25">
      <c r="A11" s="7" t="s">
        <v>265</v>
      </c>
      <c r="B11" s="7" t="s">
        <v>266</v>
      </c>
      <c r="C11" s="5" t="s">
        <v>267</v>
      </c>
      <c r="D11" s="5" t="s">
        <v>268</v>
      </c>
      <c r="E11" s="7" t="s">
        <v>88</v>
      </c>
      <c r="F11" s="7" t="s">
        <v>67</v>
      </c>
      <c r="G11" s="8">
        <v>8</v>
      </c>
      <c r="H11" s="10" t="s">
        <v>181</v>
      </c>
    </row>
    <row r="12" spans="1:8" x14ac:dyDescent="0.25">
      <c r="A12" s="7" t="s">
        <v>269</v>
      </c>
      <c r="B12" s="7" t="s">
        <v>270</v>
      </c>
      <c r="C12" s="5" t="s">
        <v>271</v>
      </c>
      <c r="D12" s="5" t="s">
        <v>272</v>
      </c>
      <c r="E12" s="7" t="s">
        <v>273</v>
      </c>
      <c r="F12" s="7" t="s">
        <v>67</v>
      </c>
      <c r="G12" s="8">
        <v>5</v>
      </c>
      <c r="H12" s="10" t="s">
        <v>181</v>
      </c>
    </row>
    <row r="13" spans="1:8" x14ac:dyDescent="0.25">
      <c r="A13" s="7" t="s">
        <v>274</v>
      </c>
      <c r="B13" s="7" t="s">
        <v>275</v>
      </c>
      <c r="C13" s="5" t="s">
        <v>276</v>
      </c>
      <c r="D13" s="5" t="s">
        <v>277</v>
      </c>
      <c r="E13" s="7" t="s">
        <v>88</v>
      </c>
      <c r="F13" s="7" t="s">
        <v>67</v>
      </c>
      <c r="G13" s="8">
        <v>3</v>
      </c>
      <c r="H13" s="10" t="s">
        <v>181</v>
      </c>
    </row>
    <row r="14" spans="1:8" x14ac:dyDescent="0.25">
      <c r="A14" s="7" t="s">
        <v>278</v>
      </c>
      <c r="B14" s="7" t="s">
        <v>279</v>
      </c>
      <c r="C14" s="5" t="s">
        <v>280</v>
      </c>
      <c r="D14" s="5" t="s">
        <v>281</v>
      </c>
      <c r="E14" s="7" t="s">
        <v>273</v>
      </c>
      <c r="F14" s="7" t="s">
        <v>69</v>
      </c>
      <c r="G14" s="8">
        <v>3</v>
      </c>
      <c r="H14" s="10" t="s">
        <v>181</v>
      </c>
    </row>
    <row r="17" spans="1:7" ht="15.75" x14ac:dyDescent="0.25">
      <c r="A17" s="3"/>
      <c r="B17" s="17"/>
      <c r="C17" s="17"/>
      <c r="D17" s="17"/>
      <c r="E17" s="17"/>
      <c r="F17" s="17"/>
      <c r="G17" s="17"/>
    </row>
    <row r="18" spans="1:7" ht="18" customHeight="1" x14ac:dyDescent="0.25">
      <c r="A18" s="16"/>
      <c r="B18" s="19"/>
      <c r="C18" s="19"/>
      <c r="D18" s="19"/>
      <c r="E18" s="19"/>
      <c r="F18" s="19"/>
      <c r="G18" s="19"/>
    </row>
    <row r="19" spans="1:7" ht="18" customHeight="1" x14ac:dyDescent="0.25">
      <c r="A19" s="19"/>
      <c r="B19" s="19"/>
      <c r="C19" s="19"/>
      <c r="D19" s="19"/>
      <c r="E19" s="19"/>
      <c r="F19" s="19"/>
      <c r="G19" s="19"/>
    </row>
    <row r="20" spans="1:7" ht="18" customHeight="1" x14ac:dyDescent="0.25">
      <c r="A20" s="19"/>
      <c r="B20" s="19"/>
      <c r="C20" s="19"/>
      <c r="D20" s="19"/>
      <c r="E20" s="19"/>
      <c r="F20" s="19"/>
      <c r="G20" s="19"/>
    </row>
  </sheetData>
  <mergeCells count="1">
    <mergeCell ref="B6:G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2"/>
  <sheetViews>
    <sheetView workbookViewId="0">
      <selection activeCell="A9" sqref="A9"/>
    </sheetView>
  </sheetViews>
  <sheetFormatPr defaultRowHeight="15" x14ac:dyDescent="0.25"/>
  <cols>
    <col min="1" max="1" width="50.7109375" bestFit="1" customWidth="1"/>
    <col min="2" max="2" width="21" customWidth="1"/>
    <col min="3" max="3" width="20" customWidth="1"/>
    <col min="4" max="4" width="12" customWidth="1"/>
  </cols>
  <sheetData>
    <row r="1" spans="1:4" ht="22.5" customHeight="1" x14ac:dyDescent="0.3">
      <c r="A1" s="1" t="s">
        <v>357</v>
      </c>
    </row>
    <row r="3" spans="1:4" x14ac:dyDescent="0.25">
      <c r="A3" s="6" t="s">
        <v>6</v>
      </c>
      <c r="B3" s="6" t="s">
        <v>292</v>
      </c>
      <c r="C3" s="6" t="s">
        <v>11</v>
      </c>
      <c r="D3" s="6" t="s">
        <v>83</v>
      </c>
    </row>
    <row r="4" spans="1:4" x14ac:dyDescent="0.25">
      <c r="A4" s="5" t="s">
        <v>15</v>
      </c>
      <c r="B4" s="8">
        <v>5</v>
      </c>
      <c r="C4" s="8">
        <v>16</v>
      </c>
      <c r="D4" s="9" t="s">
        <v>89</v>
      </c>
    </row>
    <row r="5" spans="1:4" x14ac:dyDescent="0.25">
      <c r="A5" s="5" t="s">
        <v>22</v>
      </c>
      <c r="B5" s="8">
        <v>10</v>
      </c>
      <c r="C5" s="8">
        <v>47</v>
      </c>
      <c r="D5" s="9" t="s">
        <v>89</v>
      </c>
    </row>
    <row r="6" spans="1:4" x14ac:dyDescent="0.25">
      <c r="A6" s="5" t="s">
        <v>29</v>
      </c>
      <c r="B6" s="8">
        <v>10</v>
      </c>
      <c r="C6" s="8">
        <v>48</v>
      </c>
      <c r="D6" s="9" t="s">
        <v>89</v>
      </c>
    </row>
    <row r="7" spans="1:4" x14ac:dyDescent="0.25">
      <c r="A7" s="5" t="s">
        <v>35</v>
      </c>
      <c r="B7" s="8">
        <v>8</v>
      </c>
      <c r="C7" s="8">
        <v>55</v>
      </c>
      <c r="D7" s="10" t="s">
        <v>181</v>
      </c>
    </row>
    <row r="8" spans="1:4" x14ac:dyDescent="0.25">
      <c r="A8" s="5" t="s">
        <v>41</v>
      </c>
      <c r="B8" s="8">
        <v>7</v>
      </c>
      <c r="C8" s="8">
        <v>44</v>
      </c>
      <c r="D8" s="10" t="s">
        <v>181</v>
      </c>
    </row>
    <row r="9" spans="1:4" x14ac:dyDescent="0.25">
      <c r="A9" s="5" t="s">
        <v>48</v>
      </c>
      <c r="B9" s="8">
        <v>7</v>
      </c>
      <c r="C9" s="8">
        <v>52</v>
      </c>
      <c r="D9" s="10" t="s">
        <v>181</v>
      </c>
    </row>
    <row r="10" spans="1:4" x14ac:dyDescent="0.25">
      <c r="A10" s="5" t="s">
        <v>55</v>
      </c>
      <c r="B10" s="8">
        <v>5</v>
      </c>
      <c r="C10" s="8">
        <v>27</v>
      </c>
      <c r="D10" s="10" t="s">
        <v>181</v>
      </c>
    </row>
    <row r="11" spans="1:4" x14ac:dyDescent="0.25">
      <c r="A11" s="11" t="s">
        <v>293</v>
      </c>
      <c r="B11" s="12">
        <f>SUM(B4:B10)</f>
        <v>52</v>
      </c>
      <c r="C11" s="12">
        <f>SUM(C4:C10)</f>
        <v>289</v>
      </c>
      <c r="D11" s="13"/>
    </row>
    <row r="13" spans="1:4" ht="15.75" x14ac:dyDescent="0.25">
      <c r="A13" s="3" t="s">
        <v>356</v>
      </c>
    </row>
    <row r="15" spans="1:4" x14ac:dyDescent="0.25">
      <c r="A15" s="6" t="s">
        <v>6</v>
      </c>
      <c r="B15" s="6" t="s">
        <v>294</v>
      </c>
      <c r="C15" s="6" t="s">
        <v>295</v>
      </c>
      <c r="D15" s="6" t="s">
        <v>296</v>
      </c>
    </row>
    <row r="16" spans="1:4" x14ac:dyDescent="0.25">
      <c r="A16" s="5" t="s">
        <v>15</v>
      </c>
      <c r="B16" s="8">
        <v>273</v>
      </c>
      <c r="C16" s="8">
        <v>273</v>
      </c>
      <c r="D16" s="8">
        <v>16</v>
      </c>
    </row>
    <row r="17" spans="1:4" x14ac:dyDescent="0.25">
      <c r="A17" s="5" t="s">
        <v>22</v>
      </c>
      <c r="B17" s="8">
        <v>226</v>
      </c>
      <c r="C17" s="8">
        <v>226</v>
      </c>
      <c r="D17" s="8">
        <v>47</v>
      </c>
    </row>
    <row r="18" spans="1:4" x14ac:dyDescent="0.25">
      <c r="A18" s="5" t="s">
        <v>29</v>
      </c>
      <c r="B18" s="8">
        <v>178</v>
      </c>
      <c r="C18" s="8">
        <v>178</v>
      </c>
      <c r="D18" s="8">
        <v>48</v>
      </c>
    </row>
    <row r="19" spans="1:4" x14ac:dyDescent="0.25">
      <c r="A19" s="5" t="s">
        <v>35</v>
      </c>
      <c r="B19" s="8">
        <v>123</v>
      </c>
      <c r="C19" s="8"/>
      <c r="D19" s="8"/>
    </row>
    <row r="20" spans="1:4" x14ac:dyDescent="0.25">
      <c r="A20" s="5" t="s">
        <v>41</v>
      </c>
      <c r="B20" s="8">
        <v>79</v>
      </c>
      <c r="C20" s="8"/>
      <c r="D20" s="8"/>
    </row>
    <row r="21" spans="1:4" x14ac:dyDescent="0.25">
      <c r="A21" s="5" t="s">
        <v>48</v>
      </c>
      <c r="B21" s="8">
        <v>27</v>
      </c>
      <c r="C21" s="8"/>
      <c r="D21" s="8"/>
    </row>
    <row r="22" spans="1:4" x14ac:dyDescent="0.25">
      <c r="A22" s="5" t="s">
        <v>55</v>
      </c>
      <c r="B22" s="8">
        <v>0</v>
      </c>
      <c r="C22" s="8"/>
      <c r="D22" s="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/>
  </sheetViews>
  <sheetFormatPr defaultRowHeight="15" x14ac:dyDescent="0.25"/>
  <cols>
    <col min="1" max="1" width="38" customWidth="1"/>
    <col min="2" max="2" width="69" customWidth="1"/>
    <col min="3" max="3" width="37" customWidth="1"/>
    <col min="4" max="4" width="10" customWidth="1"/>
    <col min="5" max="5" width="82" customWidth="1"/>
    <col min="6" max="6" width="13" customWidth="1"/>
  </cols>
  <sheetData>
    <row r="1" spans="1:6" ht="30" customHeight="1" x14ac:dyDescent="0.3">
      <c r="A1" s="1" t="s">
        <v>297</v>
      </c>
    </row>
    <row r="3" spans="1:6" x14ac:dyDescent="0.25">
      <c r="A3" s="6" t="s">
        <v>298</v>
      </c>
      <c r="B3" s="6" t="s">
        <v>299</v>
      </c>
      <c r="C3" s="6" t="s">
        <v>300</v>
      </c>
      <c r="D3" s="6" t="s">
        <v>301</v>
      </c>
      <c r="E3" s="6" t="s">
        <v>302</v>
      </c>
      <c r="F3" s="6" t="s">
        <v>83</v>
      </c>
    </row>
    <row r="4" spans="1:6" x14ac:dyDescent="0.25">
      <c r="A4" s="7">
        <v>1</v>
      </c>
      <c r="B4" s="5" t="s">
        <v>303</v>
      </c>
      <c r="C4" s="5" t="s">
        <v>304</v>
      </c>
      <c r="D4" s="10" t="s">
        <v>305</v>
      </c>
      <c r="E4" s="5" t="s">
        <v>306</v>
      </c>
      <c r="F4" s="10" t="s">
        <v>307</v>
      </c>
    </row>
    <row r="5" spans="1:6" x14ac:dyDescent="0.25">
      <c r="A5" s="7">
        <v>2</v>
      </c>
      <c r="B5" s="5" t="s">
        <v>308</v>
      </c>
      <c r="C5" s="5" t="s">
        <v>309</v>
      </c>
      <c r="D5" s="14" t="s">
        <v>310</v>
      </c>
      <c r="E5" s="5" t="s">
        <v>311</v>
      </c>
      <c r="F5" s="10" t="s">
        <v>307</v>
      </c>
    </row>
    <row r="6" spans="1:6" x14ac:dyDescent="0.25">
      <c r="A6" s="7">
        <v>3</v>
      </c>
      <c r="B6" s="5" t="s">
        <v>312</v>
      </c>
      <c r="C6" s="5" t="s">
        <v>313</v>
      </c>
      <c r="D6" s="15" t="s">
        <v>314</v>
      </c>
      <c r="E6" s="5" t="s">
        <v>315</v>
      </c>
      <c r="F6" s="9" t="s">
        <v>316</v>
      </c>
    </row>
    <row r="7" spans="1:6" x14ac:dyDescent="0.25">
      <c r="A7" s="7">
        <v>4</v>
      </c>
      <c r="B7" s="5" t="s">
        <v>317</v>
      </c>
      <c r="C7" s="5" t="s">
        <v>318</v>
      </c>
      <c r="D7" s="14" t="s">
        <v>310</v>
      </c>
      <c r="E7" s="5" t="s">
        <v>319</v>
      </c>
      <c r="F7" s="10" t="s">
        <v>307</v>
      </c>
    </row>
    <row r="8" spans="1:6" x14ac:dyDescent="0.25">
      <c r="A8" s="7">
        <v>5</v>
      </c>
      <c r="B8" s="5" t="s">
        <v>320</v>
      </c>
      <c r="C8" s="5" t="s">
        <v>321</v>
      </c>
      <c r="D8" s="10" t="s">
        <v>305</v>
      </c>
      <c r="E8" s="5" t="s">
        <v>322</v>
      </c>
      <c r="F8" s="10" t="s">
        <v>307</v>
      </c>
    </row>
    <row r="9" spans="1:6" x14ac:dyDescent="0.25">
      <c r="A9" s="7">
        <v>6</v>
      </c>
      <c r="B9" s="5" t="s">
        <v>323</v>
      </c>
      <c r="C9" s="5" t="s">
        <v>324</v>
      </c>
      <c r="D9" s="10" t="s">
        <v>305</v>
      </c>
      <c r="E9" s="5" t="s">
        <v>325</v>
      </c>
      <c r="F9" s="10" t="s">
        <v>307</v>
      </c>
    </row>
    <row r="10" spans="1:6" x14ac:dyDescent="0.25">
      <c r="A10" s="7">
        <v>7</v>
      </c>
      <c r="B10" s="5" t="s">
        <v>326</v>
      </c>
      <c r="C10" s="5" t="s">
        <v>327</v>
      </c>
      <c r="D10" s="10" t="s">
        <v>305</v>
      </c>
      <c r="E10" s="5" t="s">
        <v>328</v>
      </c>
      <c r="F10" s="10" t="s">
        <v>307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31"/>
  <sheetViews>
    <sheetView workbookViewId="0"/>
  </sheetViews>
  <sheetFormatPr defaultRowHeight="15" x14ac:dyDescent="0.25"/>
  <cols>
    <col min="1" max="1" width="30" customWidth="1"/>
    <col min="2" max="2" width="101" customWidth="1"/>
  </cols>
  <sheetData>
    <row r="1" spans="1:2" ht="30" customHeight="1" x14ac:dyDescent="0.3">
      <c r="A1" s="1" t="s">
        <v>329</v>
      </c>
    </row>
    <row r="3" spans="1:2" ht="15.75" x14ac:dyDescent="0.25">
      <c r="A3" s="3" t="s">
        <v>330</v>
      </c>
    </row>
    <row r="4" spans="1:2" x14ac:dyDescent="0.25">
      <c r="A4" s="11" t="s">
        <v>331</v>
      </c>
      <c r="B4" s="5" t="s">
        <v>332</v>
      </c>
    </row>
    <row r="5" spans="1:2" x14ac:dyDescent="0.25">
      <c r="A5" s="11" t="s">
        <v>331</v>
      </c>
      <c r="B5" s="5" t="s">
        <v>333</v>
      </c>
    </row>
    <row r="6" spans="1:2" x14ac:dyDescent="0.25">
      <c r="A6" s="11" t="s">
        <v>331</v>
      </c>
      <c r="B6" s="5" t="s">
        <v>334</v>
      </c>
    </row>
    <row r="7" spans="1:2" x14ac:dyDescent="0.25">
      <c r="A7" s="11" t="s">
        <v>331</v>
      </c>
      <c r="B7" s="5" t="s">
        <v>335</v>
      </c>
    </row>
    <row r="8" spans="1:2" x14ac:dyDescent="0.25">
      <c r="A8" s="11" t="s">
        <v>331</v>
      </c>
      <c r="B8" s="5" t="s">
        <v>336</v>
      </c>
    </row>
    <row r="10" spans="1:2" ht="15.75" x14ac:dyDescent="0.25">
      <c r="A10" s="3" t="s">
        <v>337</v>
      </c>
    </row>
    <row r="11" spans="1:2" x14ac:dyDescent="0.25">
      <c r="A11" s="11" t="s">
        <v>331</v>
      </c>
      <c r="B11" s="5" t="s">
        <v>338</v>
      </c>
    </row>
    <row r="12" spans="1:2" x14ac:dyDescent="0.25">
      <c r="A12" s="11" t="s">
        <v>331</v>
      </c>
      <c r="B12" s="5" t="s">
        <v>339</v>
      </c>
    </row>
    <row r="13" spans="1:2" x14ac:dyDescent="0.25">
      <c r="A13" s="11" t="s">
        <v>331</v>
      </c>
      <c r="B13" s="5" t="s">
        <v>340</v>
      </c>
    </row>
    <row r="14" spans="1:2" x14ac:dyDescent="0.25">
      <c r="A14" s="11" t="s">
        <v>331</v>
      </c>
      <c r="B14" s="5" t="s">
        <v>341</v>
      </c>
    </row>
    <row r="16" spans="1:2" ht="15.75" x14ac:dyDescent="0.25">
      <c r="A16" s="3" t="s">
        <v>342</v>
      </c>
    </row>
    <row r="17" spans="1:2" x14ac:dyDescent="0.25">
      <c r="A17" s="11" t="s">
        <v>331</v>
      </c>
      <c r="B17" s="5" t="s">
        <v>343</v>
      </c>
    </row>
    <row r="18" spans="1:2" x14ac:dyDescent="0.25">
      <c r="A18" s="11" t="s">
        <v>331</v>
      </c>
      <c r="B18" s="5" t="s">
        <v>344</v>
      </c>
    </row>
    <row r="19" spans="1:2" x14ac:dyDescent="0.25">
      <c r="A19" s="11" t="s">
        <v>331</v>
      </c>
      <c r="B19" s="5" t="s">
        <v>345</v>
      </c>
    </row>
    <row r="20" spans="1:2" x14ac:dyDescent="0.25">
      <c r="A20" s="11" t="s">
        <v>331</v>
      </c>
      <c r="B20" s="5" t="s">
        <v>346</v>
      </c>
    </row>
    <row r="22" spans="1:2" ht="15.75" x14ac:dyDescent="0.25">
      <c r="A22" s="3" t="s">
        <v>347</v>
      </c>
    </row>
    <row r="23" spans="1:2" x14ac:dyDescent="0.25">
      <c r="A23" s="11" t="s">
        <v>331</v>
      </c>
      <c r="B23" s="5" t="s">
        <v>348</v>
      </c>
    </row>
    <row r="24" spans="1:2" x14ac:dyDescent="0.25">
      <c r="A24" s="11" t="s">
        <v>331</v>
      </c>
      <c r="B24" s="5" t="s">
        <v>349</v>
      </c>
    </row>
    <row r="25" spans="1:2" x14ac:dyDescent="0.25">
      <c r="A25" s="11" t="s">
        <v>331</v>
      </c>
      <c r="B25" s="5" t="s">
        <v>350</v>
      </c>
    </row>
    <row r="27" spans="1:2" ht="15.75" x14ac:dyDescent="0.25">
      <c r="A27" s="3" t="s">
        <v>351</v>
      </c>
    </row>
    <row r="28" spans="1:2" x14ac:dyDescent="0.25">
      <c r="A28" s="11" t="s">
        <v>331</v>
      </c>
      <c r="B28" s="5" t="s">
        <v>352</v>
      </c>
    </row>
    <row r="29" spans="1:2" x14ac:dyDescent="0.25">
      <c r="A29" s="11" t="s">
        <v>331</v>
      </c>
      <c r="B29" s="5" t="s">
        <v>353</v>
      </c>
    </row>
    <row r="30" spans="1:2" x14ac:dyDescent="0.25">
      <c r="A30" s="11" t="s">
        <v>331</v>
      </c>
      <c r="B30" s="5" t="s">
        <v>354</v>
      </c>
    </row>
    <row r="31" spans="1:2" x14ac:dyDescent="0.25">
      <c r="A31" s="11" t="s">
        <v>331</v>
      </c>
      <c r="B31" s="5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📋 Project Overview</vt:lpstr>
      <vt:lpstr>📦 Product Backlog</vt:lpstr>
      <vt:lpstr>🔍 Sprint 0</vt:lpstr>
      <vt:lpstr>🚀 Sprint 1</vt:lpstr>
      <vt:lpstr>🛠️ Sprint 2</vt:lpstr>
      <vt:lpstr>📊 Sprint 3</vt:lpstr>
      <vt:lpstr>💰 Sprint 4</vt:lpstr>
      <vt:lpstr>📱 Sprint 5</vt:lpstr>
      <vt:lpstr>✅ Sprint 6</vt:lpstr>
      <vt:lpstr>📈 Velocity &amp; Progress</vt:lpstr>
      <vt:lpstr>⚠️ Risk Register</vt:lpstr>
      <vt:lpstr>✅ Definition of Done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Achmad Arditio</cp:lastModifiedBy>
  <dcterms:created xsi:type="dcterms:W3CDTF">2026-07-03T02:45:07Z</dcterms:created>
  <dcterms:modified xsi:type="dcterms:W3CDTF">2026-07-03T03:51:28Z</dcterms:modified>
</cp:coreProperties>
</file>